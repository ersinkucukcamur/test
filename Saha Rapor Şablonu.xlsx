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ersin\Desktop\HTML\örnekler\"/>
    </mc:Choice>
  </mc:AlternateContent>
  <xr:revisionPtr revIDLastSave="0" documentId="13_ncr:1_{A645D773-4A50-45FA-837C-E4C2D985B0A1}" xr6:coauthVersionLast="47" xr6:coauthVersionMax="47" xr10:uidLastSave="{00000000-0000-0000-0000-000000000000}"/>
  <bookViews>
    <workbookView xWindow="-120" yWindow="-120" windowWidth="29040" windowHeight="15720" xr2:uid="{00000000-000D-0000-FFFF-FFFF00000000}"/>
  </bookViews>
  <sheets>
    <sheet name="yardımcı" sheetId="2" r:id="rId1"/>
    <sheet name="KAPAK" sheetId="1" r:id="rId2"/>
    <sheet name="sf1" sheetId="3" r:id="rId3"/>
  </sheets>
  <definedNames>
    <definedName name="_xlnm._FilterDatabase" localSheetId="1" hidden="1">KAPAK!$B$13:$R$13</definedName>
    <definedName name="_xlnm._FilterDatabase" localSheetId="0" hidden="1">yardımcı!$A$1:$U$103</definedName>
    <definedName name="_xlnm.Print_Area" localSheetId="1">KAPAK!$B$1:$R$59</definedName>
    <definedName name="_xlnm.Print_Area" localSheetId="2">'sf1'!$C$1:$P$60</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4" i="2" l="1"/>
  <c r="R3" i="2"/>
  <c r="P3" i="2"/>
  <c r="P2" i="2"/>
  <c r="N4" i="2"/>
  <c r="N3" i="2"/>
  <c r="N2" i="2"/>
  <c r="L4" i="2"/>
  <c r="L3" i="2"/>
  <c r="L2" i="2"/>
  <c r="K4" i="2"/>
  <c r="K3" i="2"/>
  <c r="K2" i="2"/>
  <c r="J4" i="2"/>
  <c r="J3" i="2"/>
  <c r="J2" i="2"/>
  <c r="I16" i="1" l="1"/>
  <c r="D3" i="1"/>
  <c r="M2" i="2" l="1"/>
  <c r="M3" i="2"/>
  <c r="M4" i="2"/>
</calcChain>
</file>

<file path=xl/sharedStrings.xml><?xml version="1.0" encoding="utf-8"?>
<sst xmlns="http://schemas.openxmlformats.org/spreadsheetml/2006/main" count="365" uniqueCount="223">
  <si>
    <t>Poz No</t>
  </si>
  <si>
    <t>Poz tanımı</t>
  </si>
  <si>
    <t>40.1.1</t>
  </si>
  <si>
    <t>40.2</t>
  </si>
  <si>
    <t>40.2.4</t>
  </si>
  <si>
    <t>40.2.5</t>
  </si>
  <si>
    <t>5.5.1-1</t>
  </si>
  <si>
    <t>5.5.1-10</t>
  </si>
  <si>
    <t>5.5.1-11</t>
  </si>
  <si>
    <t>5.5.1-12</t>
  </si>
  <si>
    <t>5.5.1-13</t>
  </si>
  <si>
    <t>5.5.1-15</t>
  </si>
  <si>
    <t>5.5.1-16</t>
  </si>
  <si>
    <t>5.5.1-17</t>
  </si>
  <si>
    <t>5.5.1-18</t>
  </si>
  <si>
    <t>5.5.1-19</t>
  </si>
  <si>
    <t>5.5.1-2</t>
  </si>
  <si>
    <t>5.5.1-20</t>
  </si>
  <si>
    <t>5.5.1-21</t>
  </si>
  <si>
    <t>5.5.1-22</t>
  </si>
  <si>
    <t>5.5.1-23</t>
  </si>
  <si>
    <t>5.5.1-28</t>
  </si>
  <si>
    <t>T-35    - Kaynaklı Uzun Trafo Direği TEDAŞ</t>
  </si>
  <si>
    <t>5.5.1-5</t>
  </si>
  <si>
    <t>5.5.1-6</t>
  </si>
  <si>
    <t>5.5.1-7</t>
  </si>
  <si>
    <t>5.5.1-8</t>
  </si>
  <si>
    <t>5.5.1-9</t>
  </si>
  <si>
    <t>II - Büyük Aralıklı Hava Hattı Direkleri</t>
  </si>
  <si>
    <t>Birim Ağ.</t>
  </si>
  <si>
    <t>Miktar</t>
  </si>
  <si>
    <t>TARİH :</t>
  </si>
  <si>
    <t>SAYI :</t>
  </si>
  <si>
    <t>ALTYÜKLENİCİ :</t>
  </si>
  <si>
    <t>PROJE NO :</t>
  </si>
  <si>
    <t>İŞ ADI :</t>
  </si>
  <si>
    <t>ENLEM</t>
  </si>
  <si>
    <t>BOYLAM</t>
  </si>
  <si>
    <t>maps</t>
  </si>
  <si>
    <t>FOTO :</t>
  </si>
  <si>
    <t>TESPİT AÇIKLAMALARI :</t>
  </si>
  <si>
    <t>TUVENAN DOLGULU KABLO KANALI</t>
  </si>
  <si>
    <t>TOPRAK DOLGULU KABLO KANALI</t>
  </si>
  <si>
    <t>PARKE KAPLAMALI TUVENAN KABLO KANALI</t>
  </si>
  <si>
    <t>BETON KAPLAMALI TUVENAN KABLO KANALI</t>
  </si>
  <si>
    <t>I-Şehir içi A.G ve O.G Müşterek Direkler</t>
  </si>
  <si>
    <t>K2 - Uzun Tip AG Demir Direk</t>
  </si>
  <si>
    <t>K3 - Uzun Tip AG Demir Direk</t>
  </si>
  <si>
    <t>K4 - Uzun Tip AG Demir Direk</t>
  </si>
  <si>
    <t>K5 - Uzun Tip AG Demir Direk</t>
  </si>
  <si>
    <t>T-35    - Kaynaklı Uzun Trafo Direği</t>
  </si>
  <si>
    <t>10I - Uzun Tip AG Demir Direk</t>
  </si>
  <si>
    <t xml:space="preserve">10I"    - Uzun Tip Müşterek Demir Direk </t>
  </si>
  <si>
    <t xml:space="preserve">10U"    - Uzun Tip Müşterek Demir Direk </t>
  </si>
  <si>
    <t>10U - Uzun Tip AG Demir Direk </t>
  </si>
  <si>
    <t xml:space="preserve">12I"    - Uzun Tip Müşterek Demir Direk </t>
  </si>
  <si>
    <t>12I - Uzun Tip AG Demir Direk </t>
  </si>
  <si>
    <t xml:space="preserve">12U"    - Uzun Tip Müşterek Demir Direk </t>
  </si>
  <si>
    <t>12U - Uzun Tip AG Demir Direk </t>
  </si>
  <si>
    <t xml:space="preserve">K1"    - Uzun Tip Müşterek Demir Direk </t>
  </si>
  <si>
    <t>K1 - Uzun Tip AG Demir Direk </t>
  </si>
  <si>
    <t xml:space="preserve">K2"    - Uzun Tip Müşterek Demir Direk </t>
  </si>
  <si>
    <t>K2 - Uzun Tip AG Demir Direk  </t>
  </si>
  <si>
    <t xml:space="preserve">K3"    - Uzun Tip Müşterek Demir Direk </t>
  </si>
  <si>
    <t>K3 - Uzun Tip AG Demir Direk  </t>
  </si>
  <si>
    <t xml:space="preserve">K4"    - Uzun Tip Müşterek Demir Direk </t>
  </si>
  <si>
    <t>K4 - Uzun Tip AG Demir Direk  </t>
  </si>
  <si>
    <t xml:space="preserve">K5"   - Uzun Tip Müşterek Demir Direk </t>
  </si>
  <si>
    <t>K5 - Uzun Tip AG Demir Direk   </t>
  </si>
  <si>
    <t>I-Şehir içi A.G ve O.G Müşterek Direkleri</t>
  </si>
  <si>
    <t>TESPİTİ YAPAN</t>
  </si>
  <si>
    <t>isim  / imza</t>
  </si>
  <si>
    <t>B32:R60</t>
  </si>
  <si>
    <t>CK ENERJİ TESİS YAPIM İŞLERİ GRUP DİREKTÖRLÜĞÜ</t>
  </si>
  <si>
    <t>ALTYÜKLENİCİ</t>
  </si>
  <si>
    <t>ALPTUĞ</t>
  </si>
  <si>
    <t>ANKARA SCADA</t>
  </si>
  <si>
    <t>ARIÇAM</t>
  </si>
  <si>
    <t>ARSLAN</t>
  </si>
  <si>
    <t>ASDEM</t>
  </si>
  <si>
    <t>ASMİN</t>
  </si>
  <si>
    <t>ASTAN</t>
  </si>
  <si>
    <t>ATS</t>
  </si>
  <si>
    <t>AZRAM</t>
  </si>
  <si>
    <t>BİÇİM</t>
  </si>
  <si>
    <t>BİNER-MANKAR</t>
  </si>
  <si>
    <t>BST</t>
  </si>
  <si>
    <t>CANSEVER</t>
  </si>
  <si>
    <t>EMEK</t>
  </si>
  <si>
    <t>ENDOKS</t>
  </si>
  <si>
    <t>ERBU</t>
  </si>
  <si>
    <t>ERGRİD</t>
  </si>
  <si>
    <t>ERKEL</t>
  </si>
  <si>
    <t>ERKSİS</t>
  </si>
  <si>
    <t>EVD-UYAR</t>
  </si>
  <si>
    <t>GENÇ VİZYON</t>
  </si>
  <si>
    <t>HASACAR</t>
  </si>
  <si>
    <t>HİPAR</t>
  </si>
  <si>
    <t>HİSÇE</t>
  </si>
  <si>
    <t>IŞIK</t>
  </si>
  <si>
    <t>İSMAİL ACAR</t>
  </si>
  <si>
    <t>KBG</t>
  </si>
  <si>
    <t>MACAR</t>
  </si>
  <si>
    <t>MESSAD</t>
  </si>
  <si>
    <t>ÖZLER EFE</t>
  </si>
  <si>
    <t>RAMKA</t>
  </si>
  <si>
    <t>SBF</t>
  </si>
  <si>
    <t>VOLDAĞ</t>
  </si>
  <si>
    <t>YDC</t>
  </si>
  <si>
    <t>YEKEL</t>
  </si>
  <si>
    <t>10I - Uzun Tip AG Demir Direk </t>
  </si>
  <si>
    <t>kaynaklı enh direği SW</t>
  </si>
  <si>
    <t>kaynaklı enh direği RAVEN</t>
  </si>
  <si>
    <t>kaynaklı enh direği PİGEON</t>
  </si>
  <si>
    <t>T-10(Sw)   3xSw. İletkenli OG Taşıyıcı  </t>
  </si>
  <si>
    <t>T-12(Sw)   3xSw. İletkenli OG Taşıyıcı  </t>
  </si>
  <si>
    <t>T-14(Sw)   3xSw. İletkenli OG Taşıyıcı  </t>
  </si>
  <si>
    <t>T-16(Sw)   3xSw. İletkenli OG Taşıyıcı  </t>
  </si>
  <si>
    <t>T-18(Sw)   3xSw. İletkenli OG Taşıyıcı  </t>
  </si>
  <si>
    <t>T-20(Sw)   3xSw. İletkenli OG Taşıyıcı  </t>
  </si>
  <si>
    <t>D-10(Sw)   3xSw. İletkenli OG Durdurucu  </t>
  </si>
  <si>
    <t>D-12(Sw)   3xSw. İletkenli OG Durdurucu  </t>
  </si>
  <si>
    <t>D-14(Sw)   3xSw. İletkenli OG Durdurucu  </t>
  </si>
  <si>
    <t>D-16(Sw)   3xSw. İletkenli OG Durdurucu  </t>
  </si>
  <si>
    <t>D-18(Sw)   3xSw. İletkenli OG Durdurucu  </t>
  </si>
  <si>
    <t>D-20(Sw)   3xSw. İletkenli OG Durdurucu  </t>
  </si>
  <si>
    <t>N-10(Sw)  3xSw. İletkenli OG Nihayet  </t>
  </si>
  <si>
    <t>N-12(Sw)   3xSw. İletkenli OG Nihayet  </t>
  </si>
  <si>
    <t>N-14(Sw)   3xSw. İletkenli OG Nihayet  </t>
  </si>
  <si>
    <t>N-16(Sw)   3xSw. İletkenli OG Nihayet  </t>
  </si>
  <si>
    <t>N-18(Sw)   3xSw. İletkenli OG Nihayet  </t>
  </si>
  <si>
    <t>N-20(Sw)   3xSw. İletkenli OG Nihayet  </t>
  </si>
  <si>
    <t>Z-10(Sw)   3xSw. İletkenli OG Zaviye  </t>
  </si>
  <si>
    <t>Z-12(Sw)   3xSw. İletkenli OG Zaviye  </t>
  </si>
  <si>
    <t>Z-14(Sw)  3xSw. İletkenli OG Zaviye  </t>
  </si>
  <si>
    <t>Z-16(Sw)   3xSw. İletkenli OG Zaviye  </t>
  </si>
  <si>
    <t>Z-18(Sw)   3xSw. İletkenli OG Zaviye  </t>
  </si>
  <si>
    <t>Z-20(Sw)  3xSw. İletkenli OG Zaviye  </t>
  </si>
  <si>
    <t xml:space="preserve">t-12(Sw)  3xSw. İletkenli OG Zincir Iz. Taş. </t>
  </si>
  <si>
    <t xml:space="preserve">t-14(Sw)   3xSw. İletkenli OG Zincir Iz. Taş. </t>
  </si>
  <si>
    <t xml:space="preserve">t-16(Sw)   3xSw. İletkenli OG Zincir Iz. Taş. </t>
  </si>
  <si>
    <t xml:space="preserve">t-18(Sw)   3xSw. İletkenli OG Zincir Iz. Taş. </t>
  </si>
  <si>
    <t xml:space="preserve">t-20(Sw)   3xSw. İletkenli OG Zincir Iz. Taş. </t>
  </si>
  <si>
    <t xml:space="preserve">T-10(1/0)   3x1/0 İletkenli OG Taşıyıcı </t>
  </si>
  <si>
    <t xml:space="preserve">T-12(1/0)   3x1/0 İletkenli OG Taşıyıcı </t>
  </si>
  <si>
    <t xml:space="preserve">T-14(1/0)   3x1/0 İletkenli OG Taşıyıcı </t>
  </si>
  <si>
    <t xml:space="preserve">T-16(1/0)   3x1/0 İletkenli OG Taşıyıcı </t>
  </si>
  <si>
    <t xml:space="preserve">T-18(1/0)   3x1/0 İletkenli OG Taşıyıcı </t>
  </si>
  <si>
    <t xml:space="preserve">T-20(1/0)   3x1/0 İletkenli OG Taşıyıcı </t>
  </si>
  <si>
    <t xml:space="preserve">D-10(1/0)   3x1/0 İletkenli OG Durdurucu </t>
  </si>
  <si>
    <t xml:space="preserve">D-12(1/0)  3x1/0 İletkenli OG Durdurucu </t>
  </si>
  <si>
    <t xml:space="preserve">D-14(1/0)   3x1/0 İletkenli OG Durdurucu </t>
  </si>
  <si>
    <t xml:space="preserve">D-16(1/0)   3x1/0 İletkenli OG Durdurucu </t>
  </si>
  <si>
    <t xml:space="preserve">D-18(1/0)   3x1/0 İletkenli OG Durdurucu </t>
  </si>
  <si>
    <t xml:space="preserve">D-20(1/0)   3x1/0 İletkenli OG Durdurucu </t>
  </si>
  <si>
    <t xml:space="preserve">N-10(1/0)   3x1/0 İletkenli OG Nihayet </t>
  </si>
  <si>
    <t xml:space="preserve">N-12(1/0)  3x1/0 İletkenli OG Nihayet </t>
  </si>
  <si>
    <t xml:space="preserve">N-14(1/0)   3x1/0 İletkenli OG Nihayet </t>
  </si>
  <si>
    <t xml:space="preserve">N-16(1/0)   3x1/0 İletkenli OG Nihayet </t>
  </si>
  <si>
    <t xml:space="preserve">N-18(1/0)   3x1/0 İletkenli OG Nihayet </t>
  </si>
  <si>
    <t xml:space="preserve">N-20(1/0)   3x1/0 İletkenli OG Nihayet </t>
  </si>
  <si>
    <t xml:space="preserve">Z-10(1/0)   3x1/0 İletkenli OG Zaviye </t>
  </si>
  <si>
    <t xml:space="preserve">Z-12(1/0)   3x1/0 İletkenli OG Zaviye </t>
  </si>
  <si>
    <t xml:space="preserve">Z-14(1/0)   3x1/0 İletkenli OG Zaviye </t>
  </si>
  <si>
    <t xml:space="preserve">Z-16(1/0)   3x1/0 İletkenli OG Zaviye </t>
  </si>
  <si>
    <t xml:space="preserve">Z-18(1/0)   3x1/0 İletkenli OG Zaviye </t>
  </si>
  <si>
    <t xml:space="preserve">Z-20(1/0)   3x1/0 İletkenli OG Zaviye </t>
  </si>
  <si>
    <t>T-10(3/0)   3x3/0 İletkenli OG Taşıyıcı</t>
  </si>
  <si>
    <t>T-12(3/0)   3x3/0 İletkenli OG Taşıyıcı</t>
  </si>
  <si>
    <t>T-14(3/0)   3x3/0 İletkenli OG Taşıyıcı</t>
  </si>
  <si>
    <t>T-16(3/0)   3x3/0 İletkenli OG Taşıyıcı</t>
  </si>
  <si>
    <t>T-18(3/0)   3x3/0 İletkenli OG Taşıyıcı</t>
  </si>
  <si>
    <t>T-20(3/0)   3x3/0 İletkenli OG Taşıyıcı</t>
  </si>
  <si>
    <t>D-10(3/0)   3x3/0 İletkenli OG Durdurucu</t>
  </si>
  <si>
    <t>D-12(3/0)   3x3/0 İletkenli OG Durdurucu</t>
  </si>
  <si>
    <t>D-14(3/0)   3x3/0 İletkenli OG Durdurucu</t>
  </si>
  <si>
    <t>D-16(3/0)   3x3/0 İletkenli OG Durdurucu</t>
  </si>
  <si>
    <t>D-18(3/0)   3x3/0 İletkenli OG Durdurucu</t>
  </si>
  <si>
    <t>D-20(3/0)   3x3/0 İletkenli OG Durdurucu</t>
  </si>
  <si>
    <t>N-10(3/0)   3x3/0 İletkenli OG Nihayet</t>
  </si>
  <si>
    <t>N-12(3/0)   3x3/0 İletkenli OG Nihayet</t>
  </si>
  <si>
    <t>N-14(3/0)   3x3/0 İletkenli OG Nihayet</t>
  </si>
  <si>
    <t>N-16(3/0)   3x3/0 İletkenli OG Nihayet</t>
  </si>
  <si>
    <t>N-18(3/0)   3x3/0 İletkenli OG Nihayet</t>
  </si>
  <si>
    <t>N-20(3/0)   3x3/0 İletkenli OG Nihayet</t>
  </si>
  <si>
    <t>Z-10(3/0)   3x3/0 İletkenli OG Zaviye</t>
  </si>
  <si>
    <t>Z-12(3/0)  3x3/0 İletkenli OG Zaviye</t>
  </si>
  <si>
    <t>Z-14(3/0)   3x3/0 İletkenli OG Zaviye</t>
  </si>
  <si>
    <t>Z-16(3/0)   3x3/0 İletkenli OG Zaviye</t>
  </si>
  <si>
    <t>Z-18(3/0)   3x3/0 İletkenli OG Zaviye</t>
  </si>
  <si>
    <t>Z-20(3/0)  3x3/0 İletkenli OG Zaviye</t>
  </si>
  <si>
    <t>klavuz</t>
  </si>
  <si>
    <t>https://ersinkucukcamur.github.io/saharaporu/</t>
  </si>
  <si>
    <t>*yukarıdaki bağlantı ile saha raporu hazırlama yardımcısına ulaşabilirsiniz.</t>
  </si>
  <si>
    <t>*PROJE menüsü içerisinden dxf ve kmz dosyaları yüklenebilir. (dxf için uygun projeksiyon seçilmesi lazım)</t>
  </si>
  <si>
    <t>*FOTO menüsünden, içerisinde exif konum verileri bulunan fotoğraflar klasörden ya da seçilerek yüklendiğinde harita üzerinde çekildiği konumda simge olarak belirecektir. Konum verisi olmayan fotoğrafları MANUEL konum butonuna tıkladıktan sonra harita üzerinde olması gereken yere tıklayarak tek tek yüklemek gerekmektedir.</t>
  </si>
  <si>
    <t>*Yüklenen fotoğraflar simgesine tıklanarak ön izleme penceresinde açılabilir ve tutanağa eklenecek olanlar seç butonu ile işaretlendiğinde simgesi değişerek seçim sırasına göre numaralandırılır.</t>
  </si>
  <si>
    <t>*DÜZENLE menüsü içindeki araçlar kullanılarak mesafe ölçümü yapılabilir, saha tespiti ile ilgli yere açıklama yazılabilir. Yanlış eklenen çizgi, açıklama veya fotoğraf silinebilir. Taşıma butonu ile eklenen fotoğraf konum hatasından dolayı farklı yerde çıkarsa olması gereken yere taşınabilir.</t>
  </si>
  <si>
    <t>*ADRESE git butonuna tıkladıktan sonra harita üzerinde bir noktaya tıklanınca oraya yol tarifi alır.</t>
  </si>
  <si>
    <t>*KONUM butonu cihaz konumunu gösterir.</t>
  </si>
  <si>
    <t>*Saha tespiti ile ilgili fotoğraflar, proje ve çizim araçları ile eklenen veriler tamamlandıktan sonra KAYDET butonuna basılırsa seçilmeyen fotoğraf simgeleri ekrandan kaybolur.</t>
  </si>
  <si>
    <t>*RAPOR butonu içinde bulunan penereden oluşturulacak rapora isim verilebilir. KMZ raporu ile pencere içinde kalan çizimler ve fotoğraflar kmz dosyası olarak kaydedilir. EXCEL RAPORU butonu ile açılan pencere hazırlanacak saha tespit tutanağının içeriğini anlatacak şekilde düzenlenmiş alanı içine alacak şekilde konumlandırılmalıdır. Sonrasında VERİYİ AKTAR butonuna tıklandığında bu saha rapor şablonu gösterilirse KAPAK sayfası ve seçilen fotoğraflar bilgileri ile bu şablona doldurulacaktır. (sadece seçilen fotoğraflar ve pencere alanı içinde kalan fotoğraflar şablona işlenir. seçilen her 4 fotoğraf için sf1 sayfası çoğaltılarak doldurulur. )</t>
  </si>
  <si>
    <t>*Rapor şablonunda sf1 sayfasında değişiklik yapmayınız. KAPAK sayfasında içerisine fotoğraf gelecek olan hücre aralığı değiştirilmemelidir. Bunun dışında kullanıcı bu sayfayı kendine göre düzenleyebilir. (Yeraltı ve Havai hat işleri için ayrı şablon düzenlenirse iş durumuna göre ilgili şablon yüklenir daha kullanışlı olabilir.)</t>
  </si>
  <si>
    <t>İŞİN ADI</t>
  </si>
  <si>
    <t>ALT YÜKLENİCİ</t>
  </si>
  <si>
    <t>KONTROLÜ YAPAN</t>
  </si>
  <si>
    <t>TUTANAK TARİHİ</t>
  </si>
  <si>
    <t>HAKEDİŞ KONTROL TUTANAĞI NUMARASI</t>
  </si>
  <si>
    <t>HAKEDİŞE GİREN POZ NO</t>
  </si>
  <si>
    <t>HAKEDİŞE GİREN POZ ADI</t>
  </si>
  <si>
    <t>SAHA İMALARINA GÖRE POZ NO</t>
  </si>
  <si>
    <t>SAHA İMALATINA GÖRE POZ ADI</t>
  </si>
  <si>
    <t>MİKTAR</t>
  </si>
  <si>
    <t>TAŞEREON SAHA İMALAT FARKI</t>
  </si>
  <si>
    <t>TUTANAK AÇIKLAMASI</t>
  </si>
  <si>
    <t>Geri dolgu yapılan kanal</t>
  </si>
  <si>
    <t>Ölçüleri eksik kazılan kanal</t>
  </si>
  <si>
    <t>Temeli uygun olmayan direkler (kg)</t>
  </si>
  <si>
    <t>*tespit edilen uygunsuzluklar sahada sözlü olarak bildirilmesine rağmen geri dönüş yapılmaz ise ertesi gün tutanağa dönüştürüp ilgili saha personelinin de bilgisi ile taşerona iletelim.</t>
  </si>
  <si>
    <t>*Saha raporu oluşturulduktan sonra uygun olmayan imalat miktarı özet olarak kapak sayfasına doğru gelmesine dikkat edelim(kanal için elle hesaplanıp girilecek).üstteki formata uygun olarak girilen miktarlar burada alınıp takip tablosunda tutanak sayfasına eklenebilir.</t>
  </si>
  <si>
    <t>SAHA TEKNİK TESPİT VE UYGUNSUZLUK RAPORU</t>
  </si>
  <si>
    <t>*rapor oluşturmak için bu sayfayı silerek kullanırsanız hata vermeyecektir.</t>
  </si>
  <si>
    <t>Kapak ve sf1-sf2-sf3… sayfaları seçilerek pdf kaydedip rapor tamamlanır.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</si>
</sst>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4" x14ac:knownFonts="1">
    <font>
      <sz val="11"/>
      <color theme="1"/>
      <name val="Calibri"/>
      <family val="2"/>
      <scheme val="minor"/>
    </font>
    <font>
      <sz val="10"/>
      <color theme="1"/>
      <name val="Calibri"/>
      <family val="2"/>
      <scheme val="minor"/>
    </font>
    <font>
      <sz val="9"/>
      <color theme="1"/>
      <name val="Calibri"/>
      <family val="2"/>
      <scheme val="minor"/>
    </font>
    <font>
      <sz val="8"/>
      <name val="Calibri"/>
      <family val="2"/>
      <scheme val="minor"/>
    </font>
    <font>
      <b/>
      <sz val="16"/>
      <color theme="1"/>
      <name val="Calibri"/>
      <family val="2"/>
      <scheme val="minor"/>
    </font>
    <font>
      <b/>
      <sz val="9"/>
      <color theme="1"/>
      <name val="Calibri"/>
      <family val="2"/>
      <scheme val="minor"/>
    </font>
    <font>
      <i/>
      <u/>
      <sz val="9"/>
      <color theme="8"/>
      <name val="Calibri"/>
      <family val="2"/>
      <scheme val="minor"/>
    </font>
    <font>
      <i/>
      <sz val="9"/>
      <color theme="1"/>
      <name val="Calibri"/>
      <family val="2"/>
      <scheme val="minor"/>
    </font>
    <font>
      <b/>
      <u/>
      <sz val="10"/>
      <color theme="1"/>
      <name val="Calibri"/>
      <family val="2"/>
      <charset val="162"/>
      <scheme val="minor"/>
    </font>
    <font>
      <i/>
      <sz val="8"/>
      <color theme="1"/>
      <name val="Calibri"/>
      <family val="2"/>
      <scheme val="minor"/>
    </font>
    <font>
      <b/>
      <sz val="10"/>
      <color theme="1"/>
      <name val="Calibri"/>
      <family val="2"/>
      <scheme val="minor"/>
    </font>
    <font>
      <i/>
      <sz val="10"/>
      <color theme="1"/>
      <name val="Calibri"/>
      <family val="2"/>
      <charset val="162"/>
      <scheme val="minor"/>
    </font>
    <font>
      <b/>
      <sz val="14"/>
      <color theme="1"/>
      <name val="Calibri"/>
      <family val="2"/>
      <scheme val="minor"/>
    </font>
    <font>
      <b/>
      <sz val="9"/>
      <color theme="0"/>
      <name val="Calibri"/>
      <family val="2"/>
      <charset val="162"/>
      <scheme val="minor"/>
    </font>
    <font>
      <sz val="9"/>
      <color theme="1"/>
      <name val="Calibri"/>
      <family val="2"/>
      <charset val="162"/>
      <scheme val="minor"/>
    </font>
    <font>
      <u/>
      <sz val="11"/>
      <color theme="10"/>
      <name val="Calibri"/>
      <family val="2"/>
      <scheme val="minor"/>
    </font>
    <font>
      <b/>
      <sz val="9"/>
      <color theme="1"/>
      <name val="Calibri"/>
      <family val="2"/>
      <charset val="162"/>
      <scheme val="minor"/>
    </font>
    <font>
      <b/>
      <sz val="10"/>
      <color theme="0"/>
      <name val="Calibri"/>
      <family val="2"/>
      <charset val="162"/>
      <scheme val="minor"/>
    </font>
    <font>
      <b/>
      <sz val="10"/>
      <color theme="1"/>
      <name val="Calibri"/>
      <family val="2"/>
      <charset val="162"/>
      <scheme val="minor"/>
    </font>
    <font>
      <sz val="11"/>
      <color theme="1"/>
      <name val="Calibri"/>
      <family val="2"/>
      <scheme val="minor"/>
    </font>
    <font>
      <b/>
      <sz val="10"/>
      <color theme="0"/>
      <name val="Arial Narrow"/>
      <family val="2"/>
      <charset val="162"/>
    </font>
    <font>
      <b/>
      <sz val="9"/>
      <color theme="0"/>
      <name val="Arial Narrow"/>
      <family val="2"/>
      <charset val="162"/>
    </font>
    <font>
      <sz val="9"/>
      <color theme="1"/>
      <name val="Arial Narrow"/>
      <family val="2"/>
      <charset val="162"/>
    </font>
    <font>
      <u/>
      <sz val="9"/>
      <color theme="10"/>
      <name val="Calibri"/>
      <family val="2"/>
      <scheme val="minor"/>
    </font>
  </fonts>
  <fills count="8">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C000"/>
        <bgColor theme="4"/>
      </patternFill>
    </fill>
    <fill>
      <patternFill patternType="solid">
        <fgColor theme="8"/>
        <bgColor indexed="64"/>
      </patternFill>
    </fill>
    <fill>
      <patternFill patternType="solid">
        <fgColor rgb="FF7030A0"/>
        <bgColor theme="4"/>
      </patternFill>
    </fill>
    <fill>
      <patternFill patternType="solid">
        <fgColor theme="4" tint="0.79998168889431442"/>
        <bgColor indexed="64"/>
      </patternFill>
    </fill>
  </fills>
  <borders count="1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left>
      <right style="thin">
        <color theme="0"/>
      </right>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s>
  <cellStyleXfs count="5">
    <xf numFmtId="0" fontId="0" fillId="0" borderId="0"/>
    <xf numFmtId="0" fontId="15" fillId="0" borderId="0" applyNumberFormat="0" applyFill="0" applyBorder="0" applyAlignment="0" applyProtection="0"/>
    <xf numFmtId="43" fontId="19" fillId="0" borderId="0" applyFont="0" applyFill="0" applyBorder="0" applyAlignment="0" applyProtection="0"/>
    <xf numFmtId="0" fontId="19" fillId="0" borderId="0"/>
    <xf numFmtId="43" fontId="19" fillId="0" borderId="0" applyFont="0" applyFill="0" applyBorder="0" applyAlignment="0" applyProtection="0"/>
  </cellStyleXfs>
  <cellXfs count="75">
    <xf numFmtId="0" fontId="0" fillId="0" borderId="0" xfId="0"/>
    <xf numFmtId="0" fontId="1" fillId="0" borderId="0" xfId="0" applyFont="1" applyAlignment="1">
      <alignment vertical="center" wrapText="1"/>
    </xf>
    <xf numFmtId="0" fontId="1" fillId="0" borderId="0" xfId="0" applyFont="1" applyAlignment="1">
      <alignment vertical="center"/>
    </xf>
    <xf numFmtId="49" fontId="2" fillId="3" borderId="1" xfId="0" applyNumberFormat="1" applyFont="1" applyFill="1" applyBorder="1" applyAlignment="1">
      <alignment horizontal="left" vertical="center"/>
    </xf>
    <xf numFmtId="0" fontId="2" fillId="0" borderId="0" xfId="0" applyFont="1"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2" fontId="2" fillId="3" borderId="1" xfId="0" applyNumberFormat="1" applyFont="1" applyFill="1" applyBorder="1" applyAlignment="1">
      <alignment horizontal="center" vertical="center"/>
    </xf>
    <xf numFmtId="2" fontId="1" fillId="0" borderId="0" xfId="0" applyNumberFormat="1" applyFont="1" applyAlignment="1">
      <alignment horizontal="center" vertical="center"/>
    </xf>
    <xf numFmtId="0" fontId="2" fillId="0" borderId="0" xfId="0" applyFont="1" applyAlignment="1">
      <alignment vertical="top"/>
    </xf>
    <xf numFmtId="0" fontId="2" fillId="0" borderId="0" xfId="0" applyFont="1" applyAlignment="1">
      <alignment horizontal="center" vertical="top"/>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5" fillId="0" borderId="8" xfId="0" applyFont="1" applyBorder="1" applyAlignment="1">
      <alignment horizontal="center" vertical="top"/>
    </xf>
    <xf numFmtId="0" fontId="10" fillId="0" borderId="0" xfId="0" applyFont="1" applyAlignment="1">
      <alignment horizontal="center" vertical="top"/>
    </xf>
    <xf numFmtId="0" fontId="6" fillId="0" borderId="0" xfId="0" applyFont="1" applyAlignment="1">
      <alignment horizontal="center" vertical="top"/>
    </xf>
    <xf numFmtId="0" fontId="9" fillId="0" borderId="0" xfId="0" applyFont="1" applyAlignment="1">
      <alignment horizontal="right" vertical="top"/>
    </xf>
    <xf numFmtId="0" fontId="7" fillId="0" borderId="0" xfId="0" applyFont="1" applyAlignment="1">
      <alignment horizontal="left" vertical="top"/>
    </xf>
    <xf numFmtId="0" fontId="7" fillId="0" borderId="9" xfId="0" applyFont="1" applyBorder="1" applyAlignment="1">
      <alignment horizontal="left" vertical="top"/>
    </xf>
    <xf numFmtId="0" fontId="2" fillId="0" borderId="8" xfId="0" applyFont="1" applyBorder="1" applyAlignment="1">
      <alignment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8" fillId="0" borderId="0" xfId="0" applyFont="1" applyAlignment="1">
      <alignment vertical="center"/>
    </xf>
    <xf numFmtId="0" fontId="1" fillId="0" borderId="0" xfId="0" applyFont="1" applyAlignment="1">
      <alignment vertical="top"/>
    </xf>
    <xf numFmtId="0" fontId="4" fillId="0" borderId="0" xfId="0" applyFont="1" applyAlignment="1">
      <alignment vertical="center"/>
    </xf>
    <xf numFmtId="0" fontId="13" fillId="2" borderId="2" xfId="0" applyFont="1" applyFill="1" applyBorder="1" applyAlignment="1">
      <alignment vertical="center" wrapText="1"/>
    </xf>
    <xf numFmtId="49" fontId="14" fillId="3" borderId="1" xfId="0" applyNumberFormat="1" applyFont="1" applyFill="1" applyBorder="1" applyAlignment="1">
      <alignment horizontal="left" vertical="center"/>
    </xf>
    <xf numFmtId="0" fontId="14" fillId="3" borderId="1" xfId="0" applyFont="1" applyFill="1" applyBorder="1" applyAlignment="1">
      <alignment horizontal="center" vertical="center"/>
    </xf>
    <xf numFmtId="49" fontId="16" fillId="3" borderId="1" xfId="0" applyNumberFormat="1" applyFont="1" applyFill="1" applyBorder="1" applyAlignment="1">
      <alignment horizontal="left" vertical="center"/>
    </xf>
    <xf numFmtId="2" fontId="16" fillId="3" borderId="1" xfId="0" applyNumberFormat="1" applyFont="1" applyFill="1" applyBorder="1" applyAlignment="1">
      <alignment horizontal="center" vertical="center"/>
    </xf>
    <xf numFmtId="0" fontId="16" fillId="0" borderId="0" xfId="0" applyFont="1" applyAlignment="1">
      <alignment vertical="center"/>
    </xf>
    <xf numFmtId="0" fontId="17" fillId="2" borderId="1" xfId="0" applyFont="1" applyFill="1" applyBorder="1" applyAlignment="1">
      <alignment vertical="center" wrapText="1"/>
    </xf>
    <xf numFmtId="2" fontId="17" fillId="4" borderId="2" xfId="0" applyNumberFormat="1" applyFont="1" applyFill="1" applyBorder="1" applyAlignment="1">
      <alignment horizontal="center" vertical="center" wrapText="1"/>
    </xf>
    <xf numFmtId="2" fontId="17" fillId="2" borderId="2" xfId="0" applyNumberFormat="1" applyFont="1" applyFill="1" applyBorder="1" applyAlignment="1">
      <alignment horizontal="center" vertical="center" wrapText="1"/>
    </xf>
    <xf numFmtId="0" fontId="18" fillId="0" borderId="0" xfId="0" applyFont="1" applyAlignment="1">
      <alignment vertical="center"/>
    </xf>
    <xf numFmtId="49" fontId="20" fillId="6" borderId="13" xfId="0" applyNumberFormat="1" applyFont="1" applyFill="1" applyBorder="1" applyAlignment="1" applyProtection="1">
      <alignment horizontal="center" vertical="center" wrapText="1"/>
      <protection locked="0"/>
    </xf>
    <xf numFmtId="3" fontId="20" fillId="6" borderId="13" xfId="2" applyNumberFormat="1" applyFont="1" applyFill="1" applyBorder="1" applyAlignment="1" applyProtection="1">
      <alignment horizontal="center" vertical="center" wrapText="1"/>
      <protection locked="0"/>
    </xf>
    <xf numFmtId="0" fontId="21" fillId="5" borderId="0" xfId="3" applyFont="1" applyFill="1" applyAlignment="1">
      <alignment horizontal="left" vertical="center" wrapText="1"/>
    </xf>
    <xf numFmtId="0" fontId="21" fillId="5" borderId="0" xfId="3" applyFont="1" applyFill="1" applyAlignment="1">
      <alignment horizontal="center" vertical="center" wrapText="1"/>
    </xf>
    <xf numFmtId="14" fontId="21" fillId="5" borderId="0" xfId="4" applyNumberFormat="1" applyFont="1" applyFill="1" applyBorder="1" applyAlignment="1">
      <alignment horizontal="center" vertical="center" wrapText="1"/>
    </xf>
    <xf numFmtId="49" fontId="21" fillId="6" borderId="13" xfId="0" applyNumberFormat="1" applyFont="1" applyFill="1" applyBorder="1" applyAlignment="1" applyProtection="1">
      <alignment horizontal="center" vertical="center" wrapText="1"/>
      <protection locked="0"/>
    </xf>
    <xf numFmtId="0" fontId="21" fillId="6" borderId="13" xfId="0" applyFont="1" applyFill="1" applyBorder="1" applyAlignment="1" applyProtection="1">
      <alignment horizontal="center" vertical="center" wrapText="1"/>
      <protection locked="0"/>
    </xf>
    <xf numFmtId="3" fontId="21" fillId="6" borderId="13" xfId="2" applyNumberFormat="1" applyFont="1" applyFill="1" applyBorder="1" applyAlignment="1" applyProtection="1">
      <alignment horizontal="center" vertical="center" wrapText="1"/>
      <protection locked="0"/>
    </xf>
    <xf numFmtId="0" fontId="22" fillId="7" borderId="14" xfId="3" applyFont="1" applyFill="1" applyBorder="1" applyAlignment="1">
      <alignment horizontal="left" vertical="center" wrapText="1"/>
    </xf>
    <xf numFmtId="0" fontId="22" fillId="7" borderId="14" xfId="3" applyFont="1" applyFill="1" applyBorder="1" applyAlignment="1">
      <alignment horizontal="center" vertical="center" wrapText="1"/>
    </xf>
    <xf numFmtId="14" fontId="22" fillId="7" borderId="14" xfId="2" applyNumberFormat="1" applyFont="1" applyFill="1" applyBorder="1" applyAlignment="1">
      <alignment horizontal="center" vertical="center" wrapText="1"/>
    </xf>
    <xf numFmtId="14" fontId="22" fillId="7" borderId="15" xfId="4" applyNumberFormat="1" applyFont="1" applyFill="1" applyBorder="1" applyAlignment="1">
      <alignment horizontal="center" vertical="center" wrapText="1"/>
    </xf>
    <xf numFmtId="49" fontId="22" fillId="3" borderId="15" xfId="0" applyNumberFormat="1" applyFont="1" applyFill="1" applyBorder="1" applyAlignment="1" applyProtection="1">
      <alignment horizontal="center" vertical="center" wrapText="1"/>
      <protection locked="0"/>
    </xf>
    <xf numFmtId="0" fontId="22" fillId="3" borderId="15" xfId="0" applyFont="1" applyFill="1" applyBorder="1" applyAlignment="1" applyProtection="1">
      <alignment horizontal="center" vertical="center" wrapText="1"/>
      <protection locked="0"/>
    </xf>
    <xf numFmtId="3" fontId="22" fillId="3" borderId="15" xfId="2" applyNumberFormat="1" applyFont="1" applyFill="1" applyBorder="1" applyAlignment="1" applyProtection="1">
      <alignment horizontal="center" vertical="center" wrapText="1"/>
      <protection locked="0"/>
    </xf>
    <xf numFmtId="0" fontId="14" fillId="0" borderId="0" xfId="0" applyFont="1" applyAlignment="1">
      <alignment vertical="center"/>
    </xf>
    <xf numFmtId="0" fontId="23" fillId="0" borderId="0" xfId="1" applyFont="1" applyAlignment="1">
      <alignment vertical="center"/>
    </xf>
    <xf numFmtId="0" fontId="13" fillId="2" borderId="1" xfId="0" applyFont="1" applyFill="1" applyBorder="1" applyAlignment="1">
      <alignment horizontal="center" vertical="center" wrapText="1"/>
    </xf>
    <xf numFmtId="0" fontId="14" fillId="0" borderId="0" xfId="0" applyFont="1" applyAlignment="1">
      <alignment horizontal="center" vertical="center" wrapText="1"/>
    </xf>
    <xf numFmtId="49" fontId="14" fillId="3" borderId="1" xfId="0" applyNumberFormat="1" applyFont="1" applyFill="1" applyBorder="1" applyAlignment="1">
      <alignment horizontal="center" vertical="center" wrapText="1"/>
    </xf>
    <xf numFmtId="0" fontId="1" fillId="0" borderId="0" xfId="0" applyFont="1" applyAlignment="1">
      <alignment horizontal="center" vertical="top" wrapText="1"/>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center"/>
    </xf>
    <xf numFmtId="0" fontId="8" fillId="0" borderId="0" xfId="0" applyFont="1" applyAlignment="1">
      <alignment horizontal="center" vertical="center"/>
    </xf>
    <xf numFmtId="0" fontId="1" fillId="0" borderId="3" xfId="0" applyFont="1" applyBorder="1" applyAlignment="1">
      <alignment horizontal="center" vertical="center"/>
    </xf>
    <xf numFmtId="49" fontId="16" fillId="3" borderId="1" xfId="0" applyNumberFormat="1" applyFont="1" applyFill="1" applyBorder="1" applyAlignment="1">
      <alignment horizontal="left" vertical="center"/>
    </xf>
    <xf numFmtId="49" fontId="16" fillId="3" borderId="2" xfId="0" applyNumberFormat="1" applyFont="1" applyFill="1" applyBorder="1" applyAlignment="1">
      <alignment horizontal="left" vertical="center"/>
    </xf>
    <xf numFmtId="49" fontId="16" fillId="3" borderId="4" xfId="0" applyNumberFormat="1" applyFont="1" applyFill="1" applyBorder="1" applyAlignment="1">
      <alignment horizontal="left" vertical="center"/>
    </xf>
    <xf numFmtId="49" fontId="2" fillId="3" borderId="1" xfId="0" applyNumberFormat="1" applyFont="1" applyFill="1" applyBorder="1" applyAlignment="1">
      <alignment horizontal="left" vertical="center"/>
    </xf>
    <xf numFmtId="49" fontId="2" fillId="3" borderId="2" xfId="0" applyNumberFormat="1" applyFont="1" applyFill="1" applyBorder="1" applyAlignment="1">
      <alignment horizontal="left" vertical="center"/>
    </xf>
    <xf numFmtId="49" fontId="2" fillId="3" borderId="4" xfId="0" applyNumberFormat="1" applyFont="1" applyFill="1" applyBorder="1" applyAlignment="1">
      <alignment horizontal="left" vertical="center"/>
    </xf>
    <xf numFmtId="0" fontId="11" fillId="0" borderId="0" xfId="0" applyFont="1" applyAlignment="1">
      <alignment horizontal="center" vertical="center"/>
    </xf>
    <xf numFmtId="0" fontId="12" fillId="0" borderId="0" xfId="0" applyFont="1" applyAlignment="1">
      <alignment horizontal="center" vertical="center"/>
    </xf>
    <xf numFmtId="0" fontId="17" fillId="2" borderId="2" xfId="0" applyFont="1" applyFill="1" applyBorder="1" applyAlignment="1">
      <alignment horizontal="left" vertical="center" wrapText="1"/>
    </xf>
    <xf numFmtId="0" fontId="17" fillId="2" borderId="2" xfId="0" applyFont="1" applyFill="1" applyBorder="1" applyAlignment="1">
      <alignment horizontal="center" vertical="center" wrapText="1"/>
    </xf>
    <xf numFmtId="14" fontId="1" fillId="0" borderId="0" xfId="0" applyNumberFormat="1" applyFont="1" applyAlignment="1">
      <alignment horizontal="left" vertical="center"/>
    </xf>
  </cellXfs>
  <cellStyles count="5">
    <cellStyle name="Köprü" xfId="1" builtinId="8"/>
    <cellStyle name="Normal" xfId="0" builtinId="0"/>
    <cellStyle name="Normal 2" xfId="3" xr:uid="{5657CCA5-D9AD-4766-8436-4129463D0F13}"/>
    <cellStyle name="Virgül" xfId="2" builtinId="3"/>
    <cellStyle name="Virgül 2" xfId="4" xr:uid="{D61734A1-19AB-4F86-9745-B82954E23D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rsinkucukcamur.github.io/saharapor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F7523-E42A-428C-AD8E-4E27516CBE10}">
  <dimension ref="A1:U103"/>
  <sheetViews>
    <sheetView tabSelected="1" zoomScale="80" zoomScaleNormal="80" workbookViewId="0">
      <selection activeCell="H16" sqref="H16"/>
    </sheetView>
  </sheetViews>
  <sheetFormatPr defaultColWidth="6.5703125" defaultRowHeight="24.95" customHeight="1" x14ac:dyDescent="0.25"/>
  <cols>
    <col min="1" max="1" width="10.7109375" style="56" customWidth="1"/>
    <col min="2" max="2" width="35.7109375" style="53" customWidth="1"/>
    <col min="3" max="4" width="12.7109375" style="53" customWidth="1"/>
    <col min="5" max="5" width="5.7109375" style="53" customWidth="1"/>
    <col min="6" max="6" width="12.7109375" style="53" customWidth="1"/>
    <col min="7" max="7" width="5.7109375" style="53" customWidth="1"/>
    <col min="8" max="8" width="30.7109375" style="53" customWidth="1"/>
    <col min="9" max="9" width="5.7109375" style="53" customWidth="1"/>
    <col min="10" max="10" width="25.7109375" style="53" customWidth="1"/>
    <col min="11" max="11" width="10.7109375" style="53" customWidth="1"/>
    <col min="12" max="12" width="15.28515625" style="53" customWidth="1"/>
    <col min="13" max="15" width="12.7109375" style="53" customWidth="1"/>
    <col min="16" max="16" width="25.7109375" style="53" customWidth="1"/>
    <col min="17" max="17" width="12.7109375" style="53" customWidth="1"/>
    <col min="18" max="18" width="25.7109375" style="53" customWidth="1"/>
    <col min="19" max="21" width="12.7109375" style="53" customWidth="1"/>
    <col min="22" max="16384" width="6.5703125" style="53"/>
  </cols>
  <sheetData>
    <row r="1" spans="1:21" ht="24.95" customHeight="1" x14ac:dyDescent="0.25">
      <c r="A1" s="55" t="s">
        <v>0</v>
      </c>
      <c r="B1" s="28" t="s">
        <v>1</v>
      </c>
      <c r="C1" s="28" t="s">
        <v>29</v>
      </c>
      <c r="D1" s="28" t="s">
        <v>30</v>
      </c>
      <c r="F1" s="28" t="s">
        <v>74</v>
      </c>
      <c r="H1" s="28" t="s">
        <v>191</v>
      </c>
      <c r="J1" s="40" t="s">
        <v>203</v>
      </c>
      <c r="K1" s="41" t="s">
        <v>204</v>
      </c>
      <c r="L1" s="42" t="s">
        <v>205</v>
      </c>
      <c r="M1" s="42" t="s">
        <v>206</v>
      </c>
      <c r="N1" s="41" t="s">
        <v>207</v>
      </c>
      <c r="O1" s="43" t="s">
        <v>208</v>
      </c>
      <c r="P1" s="44" t="s">
        <v>209</v>
      </c>
      <c r="Q1" s="43" t="s">
        <v>210</v>
      </c>
      <c r="R1" s="44" t="s">
        <v>211</v>
      </c>
      <c r="S1" s="45" t="s">
        <v>212</v>
      </c>
      <c r="T1" s="39" t="s">
        <v>213</v>
      </c>
      <c r="U1" s="38" t="s">
        <v>214</v>
      </c>
    </row>
    <row r="2" spans="1:21" ht="24.95" customHeight="1" x14ac:dyDescent="0.25">
      <c r="A2" s="57" t="s">
        <v>2</v>
      </c>
      <c r="B2" s="29" t="s">
        <v>41</v>
      </c>
      <c r="C2" s="29"/>
      <c r="D2" s="29"/>
      <c r="F2" s="29" t="s">
        <v>75</v>
      </c>
      <c r="H2" s="54" t="s">
        <v>192</v>
      </c>
      <c r="J2" s="46">
        <f>+KAPAK!D5</f>
        <v>0</v>
      </c>
      <c r="K2" s="47">
        <f>+KAPAK!M3</f>
        <v>0</v>
      </c>
      <c r="L2" s="48" t="str">
        <f>+KAPAK!M28</f>
        <v>TESPİTİ YAPAN</v>
      </c>
      <c r="M2" s="49">
        <f ca="1">+KAPAK!D3</f>
        <v>46048</v>
      </c>
      <c r="N2" s="47">
        <f>+KAPAK!D4</f>
        <v>0</v>
      </c>
      <c r="O2" s="50" t="s">
        <v>2</v>
      </c>
      <c r="P2" s="51" t="str">
        <f>+VLOOKUP(O2,A:B,2,0)</f>
        <v>TUVENAN DOLGULU KABLO KANALI</v>
      </c>
      <c r="Q2" s="50"/>
      <c r="R2" s="51"/>
      <c r="S2" s="52"/>
      <c r="T2" s="52"/>
      <c r="U2" s="52" t="s">
        <v>216</v>
      </c>
    </row>
    <row r="3" spans="1:21" ht="24.95" customHeight="1" x14ac:dyDescent="0.25">
      <c r="A3" s="57" t="s">
        <v>3</v>
      </c>
      <c r="B3" s="29" t="s">
        <v>42</v>
      </c>
      <c r="C3" s="29"/>
      <c r="D3" s="29"/>
      <c r="F3" s="29" t="s">
        <v>76</v>
      </c>
      <c r="H3" s="53" t="s">
        <v>193</v>
      </c>
      <c r="J3" s="46">
        <f>+KAPAK!D5</f>
        <v>0</v>
      </c>
      <c r="K3" s="47">
        <f>+KAPAK!M3</f>
        <v>0</v>
      </c>
      <c r="L3" s="48" t="str">
        <f>+KAPAK!M28</f>
        <v>TESPİTİ YAPAN</v>
      </c>
      <c r="M3" s="49">
        <f ca="1">+KAPAK!D3</f>
        <v>46048</v>
      </c>
      <c r="N3" s="47">
        <f>+KAPAK!D4</f>
        <v>0</v>
      </c>
      <c r="O3" s="50" t="s">
        <v>2</v>
      </c>
      <c r="P3" s="51" t="str">
        <f>+VLOOKUP(O3,A:B,2,0)</f>
        <v>TUVENAN DOLGULU KABLO KANALI</v>
      </c>
      <c r="Q3" s="50" t="s">
        <v>3</v>
      </c>
      <c r="R3" s="51" t="str">
        <f>+VLOOKUP(Q3,A:B,2,0)</f>
        <v>TOPRAK DOLGULU KABLO KANALI</v>
      </c>
      <c r="S3" s="52"/>
      <c r="T3" s="52"/>
      <c r="U3" s="52" t="s">
        <v>215</v>
      </c>
    </row>
    <row r="4" spans="1:21" ht="24.95" customHeight="1" x14ac:dyDescent="0.25">
      <c r="A4" s="57" t="s">
        <v>4</v>
      </c>
      <c r="B4" s="29" t="s">
        <v>43</v>
      </c>
      <c r="C4" s="29"/>
      <c r="D4" s="29"/>
      <c r="F4" s="29" t="s">
        <v>77</v>
      </c>
      <c r="H4" s="53" t="s">
        <v>218</v>
      </c>
      <c r="J4" s="46">
        <f>+KAPAK!D5</f>
        <v>0</v>
      </c>
      <c r="K4" s="47">
        <f>+KAPAK!M3</f>
        <v>0</v>
      </c>
      <c r="L4" s="48" t="str">
        <f>+KAPAK!M28</f>
        <v>TESPİTİ YAPAN</v>
      </c>
      <c r="M4" s="49">
        <f ca="1">+KAPAK!D3</f>
        <v>46048</v>
      </c>
      <c r="N4" s="47">
        <f>+KAPAK!D4</f>
        <v>0</v>
      </c>
      <c r="O4" s="50" t="s">
        <v>6</v>
      </c>
      <c r="P4" s="51" t="str">
        <f>+VLOOKUP(O4,A:B,2,0)</f>
        <v>I-Şehir içi A.G ve O.G Müşterek Direkler</v>
      </c>
      <c r="Q4" s="50"/>
      <c r="R4" s="51"/>
      <c r="S4" s="52"/>
      <c r="T4" s="52"/>
      <c r="U4" s="52" t="s">
        <v>217</v>
      </c>
    </row>
    <row r="5" spans="1:21" ht="24.95" customHeight="1" x14ac:dyDescent="0.25">
      <c r="A5" s="57" t="s">
        <v>5</v>
      </c>
      <c r="B5" s="29" t="s">
        <v>44</v>
      </c>
      <c r="C5" s="29"/>
      <c r="D5" s="29"/>
      <c r="F5" s="29" t="s">
        <v>78</v>
      </c>
      <c r="H5" s="53" t="s">
        <v>194</v>
      </c>
    </row>
    <row r="6" spans="1:21" ht="24.95" customHeight="1" x14ac:dyDescent="0.25">
      <c r="A6" s="57" t="s">
        <v>6</v>
      </c>
      <c r="B6" s="29" t="s">
        <v>45</v>
      </c>
      <c r="C6" s="29"/>
      <c r="D6" s="30"/>
      <c r="F6" s="29" t="s">
        <v>79</v>
      </c>
      <c r="H6" s="53" t="s">
        <v>195</v>
      </c>
    </row>
    <row r="7" spans="1:21" ht="24.95" customHeight="1" x14ac:dyDescent="0.25">
      <c r="A7" s="57" t="s">
        <v>23</v>
      </c>
      <c r="B7" s="29" t="s">
        <v>110</v>
      </c>
      <c r="C7" s="30">
        <v>207</v>
      </c>
      <c r="D7" s="30"/>
      <c r="F7" s="29" t="s">
        <v>80</v>
      </c>
      <c r="H7" s="53" t="s">
        <v>196</v>
      </c>
    </row>
    <row r="8" spans="1:21" ht="24.95" customHeight="1" x14ac:dyDescent="0.25">
      <c r="A8" s="57" t="s">
        <v>24</v>
      </c>
      <c r="B8" s="29" t="s">
        <v>54</v>
      </c>
      <c r="C8" s="30">
        <v>245</v>
      </c>
      <c r="D8" s="30"/>
      <c r="F8" s="29" t="s">
        <v>81</v>
      </c>
      <c r="H8" s="53" t="s">
        <v>197</v>
      </c>
    </row>
    <row r="9" spans="1:21" ht="24.95" customHeight="1" x14ac:dyDescent="0.25">
      <c r="A9" s="57" t="s">
        <v>25</v>
      </c>
      <c r="B9" s="29" t="s">
        <v>56</v>
      </c>
      <c r="C9" s="30">
        <v>258</v>
      </c>
      <c r="D9" s="30"/>
      <c r="F9" s="29" t="s">
        <v>82</v>
      </c>
      <c r="H9" s="53" t="s">
        <v>198</v>
      </c>
    </row>
    <row r="10" spans="1:21" ht="24.95" customHeight="1" x14ac:dyDescent="0.25">
      <c r="A10" s="57" t="s">
        <v>26</v>
      </c>
      <c r="B10" s="29" t="s">
        <v>58</v>
      </c>
      <c r="C10" s="30">
        <v>315</v>
      </c>
      <c r="D10" s="30"/>
      <c r="F10" s="29" t="s">
        <v>83</v>
      </c>
      <c r="H10" s="53" t="s">
        <v>199</v>
      </c>
    </row>
    <row r="11" spans="1:21" ht="24.95" customHeight="1" x14ac:dyDescent="0.25">
      <c r="A11" s="57" t="s">
        <v>27</v>
      </c>
      <c r="B11" s="29" t="s">
        <v>60</v>
      </c>
      <c r="C11" s="30">
        <v>326</v>
      </c>
      <c r="D11" s="30"/>
      <c r="F11" s="29" t="s">
        <v>84</v>
      </c>
      <c r="H11" s="53" t="s">
        <v>200</v>
      </c>
    </row>
    <row r="12" spans="1:21" ht="24.95" customHeight="1" x14ac:dyDescent="0.25">
      <c r="A12" s="57" t="s">
        <v>7</v>
      </c>
      <c r="B12" s="29" t="s">
        <v>46</v>
      </c>
      <c r="C12" s="30">
        <v>504</v>
      </c>
      <c r="D12" s="30"/>
      <c r="F12" s="29" t="s">
        <v>85</v>
      </c>
      <c r="H12" s="53" t="s">
        <v>201</v>
      </c>
    </row>
    <row r="13" spans="1:21" ht="24.95" customHeight="1" x14ac:dyDescent="0.25">
      <c r="A13" s="57" t="s">
        <v>8</v>
      </c>
      <c r="B13" s="29" t="s">
        <v>47</v>
      </c>
      <c r="C13" s="30">
        <v>578</v>
      </c>
      <c r="D13" s="30"/>
      <c r="F13" s="29" t="s">
        <v>86</v>
      </c>
      <c r="H13" s="53" t="s">
        <v>202</v>
      </c>
    </row>
    <row r="14" spans="1:21" ht="24.95" customHeight="1" x14ac:dyDescent="0.25">
      <c r="A14" s="57" t="s">
        <v>9</v>
      </c>
      <c r="B14" s="29" t="s">
        <v>48</v>
      </c>
      <c r="C14" s="30">
        <v>800</v>
      </c>
      <c r="D14" s="30"/>
      <c r="F14" s="29" t="s">
        <v>87</v>
      </c>
      <c r="H14" s="53" t="s">
        <v>219</v>
      </c>
    </row>
    <row r="15" spans="1:21" ht="24.95" customHeight="1" x14ac:dyDescent="0.25">
      <c r="A15" s="57" t="s">
        <v>10</v>
      </c>
      <c r="B15" s="29" t="s">
        <v>49</v>
      </c>
      <c r="C15" s="30">
        <v>914</v>
      </c>
      <c r="D15" s="30"/>
      <c r="F15" s="29" t="s">
        <v>88</v>
      </c>
      <c r="H15" s="53" t="s">
        <v>221</v>
      </c>
    </row>
    <row r="16" spans="1:21" ht="24.95" customHeight="1" x14ac:dyDescent="0.25">
      <c r="A16" s="57" t="s">
        <v>11</v>
      </c>
      <c r="B16" s="29" t="s">
        <v>52</v>
      </c>
      <c r="C16" s="30">
        <v>230</v>
      </c>
      <c r="D16" s="29"/>
      <c r="F16" s="29" t="s">
        <v>89</v>
      </c>
      <c r="H16" s="53" t="s">
        <v>222</v>
      </c>
    </row>
    <row r="17" spans="1:8" ht="24.95" customHeight="1" x14ac:dyDescent="0.25">
      <c r="A17" s="57" t="s">
        <v>12</v>
      </c>
      <c r="B17" s="29" t="s">
        <v>53</v>
      </c>
      <c r="C17" s="30">
        <v>280</v>
      </c>
      <c r="D17" s="30"/>
      <c r="F17" s="29" t="s">
        <v>90</v>
      </c>
      <c r="H17" s="53" t="s">
        <v>221</v>
      </c>
    </row>
    <row r="18" spans="1:8" ht="24.95" customHeight="1" x14ac:dyDescent="0.25">
      <c r="A18" s="57" t="s">
        <v>13</v>
      </c>
      <c r="B18" s="29" t="s">
        <v>55</v>
      </c>
      <c r="C18" s="30">
        <v>298</v>
      </c>
      <c r="D18" s="30"/>
      <c r="F18" s="29" t="s">
        <v>91</v>
      </c>
    </row>
    <row r="19" spans="1:8" ht="24.95" customHeight="1" x14ac:dyDescent="0.25">
      <c r="A19" s="57" t="s">
        <v>14</v>
      </c>
      <c r="B19" s="29" t="s">
        <v>57</v>
      </c>
      <c r="C19" s="30">
        <v>362</v>
      </c>
      <c r="D19" s="30"/>
      <c r="F19" s="29" t="s">
        <v>92</v>
      </c>
    </row>
    <row r="20" spans="1:8" ht="24.95" customHeight="1" x14ac:dyDescent="0.25">
      <c r="A20" s="57" t="s">
        <v>15</v>
      </c>
      <c r="B20" s="29" t="s">
        <v>59</v>
      </c>
      <c r="C20" s="30">
        <v>373</v>
      </c>
      <c r="D20" s="30"/>
      <c r="F20" s="29" t="s">
        <v>93</v>
      </c>
    </row>
    <row r="21" spans="1:8" ht="24.95" customHeight="1" x14ac:dyDescent="0.25">
      <c r="A21" s="57" t="s">
        <v>17</v>
      </c>
      <c r="B21" s="29" t="s">
        <v>61</v>
      </c>
      <c r="C21" s="30">
        <v>449</v>
      </c>
      <c r="D21" s="30"/>
      <c r="F21" s="29" t="s">
        <v>94</v>
      </c>
    </row>
    <row r="22" spans="1:8" ht="24.95" customHeight="1" x14ac:dyDescent="0.25">
      <c r="A22" s="57" t="s">
        <v>18</v>
      </c>
      <c r="B22" s="29" t="s">
        <v>63</v>
      </c>
      <c r="C22" s="30">
        <v>566</v>
      </c>
      <c r="D22" s="30"/>
      <c r="F22" s="29" t="s">
        <v>95</v>
      </c>
    </row>
    <row r="23" spans="1:8" ht="24.95" customHeight="1" x14ac:dyDescent="0.25">
      <c r="A23" s="57" t="s">
        <v>19</v>
      </c>
      <c r="B23" s="29" t="s">
        <v>65</v>
      </c>
      <c r="C23" s="30">
        <v>790</v>
      </c>
      <c r="D23" s="30"/>
      <c r="F23" s="29" t="s">
        <v>96</v>
      </c>
    </row>
    <row r="24" spans="1:8" ht="24.95" customHeight="1" x14ac:dyDescent="0.25">
      <c r="A24" s="57" t="s">
        <v>20</v>
      </c>
      <c r="B24" s="29" t="s">
        <v>67</v>
      </c>
      <c r="C24" s="30">
        <v>952</v>
      </c>
      <c r="D24" s="30"/>
      <c r="F24" s="29" t="s">
        <v>97</v>
      </c>
    </row>
    <row r="25" spans="1:8" ht="24.95" customHeight="1" x14ac:dyDescent="0.25">
      <c r="A25" s="57" t="s">
        <v>21</v>
      </c>
      <c r="B25" s="29" t="s">
        <v>22</v>
      </c>
      <c r="C25" s="30">
        <v>995</v>
      </c>
      <c r="D25" s="29"/>
      <c r="F25" s="29" t="s">
        <v>98</v>
      </c>
    </row>
    <row r="26" spans="1:8" ht="24.95" customHeight="1" x14ac:dyDescent="0.25">
      <c r="A26" s="57" t="s">
        <v>16</v>
      </c>
      <c r="B26" s="29" t="s">
        <v>28</v>
      </c>
      <c r="C26" s="29"/>
      <c r="D26" s="30"/>
      <c r="F26" s="29" t="s">
        <v>99</v>
      </c>
    </row>
    <row r="27" spans="1:8" ht="24.95" customHeight="1" x14ac:dyDescent="0.25">
      <c r="A27" s="57" t="s">
        <v>111</v>
      </c>
      <c r="B27" s="29" t="s">
        <v>114</v>
      </c>
      <c r="C27" s="30">
        <v>258</v>
      </c>
      <c r="D27" s="29"/>
      <c r="F27" s="29" t="s">
        <v>100</v>
      </c>
    </row>
    <row r="28" spans="1:8" ht="24.95" customHeight="1" x14ac:dyDescent="0.25">
      <c r="A28" s="57" t="s">
        <v>111</v>
      </c>
      <c r="B28" s="29" t="s">
        <v>115</v>
      </c>
      <c r="C28" s="30">
        <v>306</v>
      </c>
      <c r="D28" s="29"/>
      <c r="F28" s="29" t="s">
        <v>101</v>
      </c>
    </row>
    <row r="29" spans="1:8" ht="24.95" customHeight="1" x14ac:dyDescent="0.25">
      <c r="A29" s="57" t="s">
        <v>111</v>
      </c>
      <c r="B29" s="29" t="s">
        <v>116</v>
      </c>
      <c r="C29" s="30">
        <v>370</v>
      </c>
      <c r="D29" s="29"/>
      <c r="F29" s="29" t="s">
        <v>102</v>
      </c>
    </row>
    <row r="30" spans="1:8" ht="24.95" customHeight="1" x14ac:dyDescent="0.25">
      <c r="A30" s="57" t="s">
        <v>111</v>
      </c>
      <c r="B30" s="29" t="s">
        <v>117</v>
      </c>
      <c r="C30" s="30">
        <v>426</v>
      </c>
      <c r="D30" s="29"/>
      <c r="F30" s="29" t="s">
        <v>103</v>
      </c>
    </row>
    <row r="31" spans="1:8" ht="24.95" customHeight="1" x14ac:dyDescent="0.25">
      <c r="A31" s="57" t="s">
        <v>111</v>
      </c>
      <c r="B31" s="29" t="s">
        <v>118</v>
      </c>
      <c r="C31" s="30">
        <v>473</v>
      </c>
      <c r="D31" s="29"/>
      <c r="F31" s="29" t="s">
        <v>104</v>
      </c>
    </row>
    <row r="32" spans="1:8" ht="24.95" customHeight="1" x14ac:dyDescent="0.25">
      <c r="A32" s="57" t="s">
        <v>111</v>
      </c>
      <c r="B32" s="29" t="s">
        <v>119</v>
      </c>
      <c r="C32" s="30">
        <v>564</v>
      </c>
      <c r="D32" s="29"/>
      <c r="F32" s="29" t="s">
        <v>105</v>
      </c>
    </row>
    <row r="33" spans="1:6" ht="24.95" customHeight="1" x14ac:dyDescent="0.25">
      <c r="A33" s="57" t="s">
        <v>111</v>
      </c>
      <c r="B33" s="29" t="s">
        <v>120</v>
      </c>
      <c r="C33" s="30">
        <v>279</v>
      </c>
      <c r="D33" s="29"/>
      <c r="F33" s="29" t="s">
        <v>106</v>
      </c>
    </row>
    <row r="34" spans="1:6" ht="24.95" customHeight="1" x14ac:dyDescent="0.25">
      <c r="A34" s="57" t="s">
        <v>111</v>
      </c>
      <c r="B34" s="29" t="s">
        <v>121</v>
      </c>
      <c r="C34" s="30">
        <v>344</v>
      </c>
      <c r="D34" s="29"/>
      <c r="F34" s="29" t="s">
        <v>107</v>
      </c>
    </row>
    <row r="35" spans="1:6" ht="24.95" customHeight="1" x14ac:dyDescent="0.25">
      <c r="A35" s="57" t="s">
        <v>111</v>
      </c>
      <c r="B35" s="29" t="s">
        <v>122</v>
      </c>
      <c r="C35" s="30">
        <v>418</v>
      </c>
      <c r="D35" s="29"/>
      <c r="F35" s="29" t="s">
        <v>108</v>
      </c>
    </row>
    <row r="36" spans="1:6" ht="24.95" customHeight="1" x14ac:dyDescent="0.25">
      <c r="A36" s="57" t="s">
        <v>111</v>
      </c>
      <c r="B36" s="29" t="s">
        <v>123</v>
      </c>
      <c r="C36" s="30">
        <v>506</v>
      </c>
      <c r="D36" s="29"/>
      <c r="F36" s="29" t="s">
        <v>109</v>
      </c>
    </row>
    <row r="37" spans="1:6" ht="24.95" customHeight="1" x14ac:dyDescent="0.25">
      <c r="A37" s="57" t="s">
        <v>111</v>
      </c>
      <c r="B37" s="29" t="s">
        <v>124</v>
      </c>
      <c r="C37" s="30">
        <v>591</v>
      </c>
      <c r="D37" s="29"/>
    </row>
    <row r="38" spans="1:6" ht="24.95" customHeight="1" x14ac:dyDescent="0.25">
      <c r="A38" s="57" t="s">
        <v>111</v>
      </c>
      <c r="B38" s="29" t="s">
        <v>125</v>
      </c>
      <c r="C38" s="30">
        <v>671</v>
      </c>
      <c r="D38" s="29"/>
    </row>
    <row r="39" spans="1:6" ht="24.95" customHeight="1" x14ac:dyDescent="0.25">
      <c r="A39" s="57" t="s">
        <v>111</v>
      </c>
      <c r="B39" s="29" t="s">
        <v>126</v>
      </c>
      <c r="C39" s="30">
        <v>293</v>
      </c>
      <c r="D39" s="29"/>
    </row>
    <row r="40" spans="1:6" ht="24.95" customHeight="1" x14ac:dyDescent="0.25">
      <c r="A40" s="57" t="s">
        <v>111</v>
      </c>
      <c r="B40" s="29" t="s">
        <v>127</v>
      </c>
      <c r="C40" s="30">
        <v>366</v>
      </c>
      <c r="D40" s="29"/>
    </row>
    <row r="41" spans="1:6" ht="24.95" customHeight="1" x14ac:dyDescent="0.25">
      <c r="A41" s="57" t="s">
        <v>111</v>
      </c>
      <c r="B41" s="29" t="s">
        <v>128</v>
      </c>
      <c r="C41" s="30">
        <v>448</v>
      </c>
      <c r="D41" s="29"/>
    </row>
    <row r="42" spans="1:6" ht="24.95" customHeight="1" x14ac:dyDescent="0.25">
      <c r="A42" s="57" t="s">
        <v>111</v>
      </c>
      <c r="B42" s="29" t="s">
        <v>129</v>
      </c>
      <c r="C42" s="30">
        <v>542</v>
      </c>
      <c r="D42" s="29"/>
    </row>
    <row r="43" spans="1:6" ht="24.95" customHeight="1" x14ac:dyDescent="0.25">
      <c r="A43" s="57" t="s">
        <v>111</v>
      </c>
      <c r="B43" s="29" t="s">
        <v>130</v>
      </c>
      <c r="C43" s="30">
        <v>639</v>
      </c>
      <c r="D43" s="29"/>
    </row>
    <row r="44" spans="1:6" ht="24.95" customHeight="1" x14ac:dyDescent="0.25">
      <c r="A44" s="57" t="s">
        <v>111</v>
      </c>
      <c r="B44" s="29" t="s">
        <v>131</v>
      </c>
      <c r="C44" s="30">
        <v>739</v>
      </c>
      <c r="D44" s="29"/>
    </row>
    <row r="45" spans="1:6" ht="24.95" customHeight="1" x14ac:dyDescent="0.25">
      <c r="A45" s="57" t="s">
        <v>111</v>
      </c>
      <c r="B45" s="29" t="s">
        <v>132</v>
      </c>
      <c r="C45" s="30">
        <v>338</v>
      </c>
      <c r="D45" s="29"/>
    </row>
    <row r="46" spans="1:6" ht="24.95" customHeight="1" x14ac:dyDescent="0.25">
      <c r="A46" s="57" t="s">
        <v>111</v>
      </c>
      <c r="B46" s="29" t="s">
        <v>133</v>
      </c>
      <c r="C46" s="30">
        <v>420</v>
      </c>
      <c r="D46" s="29"/>
    </row>
    <row r="47" spans="1:6" ht="24.95" customHeight="1" x14ac:dyDescent="0.25">
      <c r="A47" s="57" t="s">
        <v>111</v>
      </c>
      <c r="B47" s="29" t="s">
        <v>134</v>
      </c>
      <c r="C47" s="30">
        <v>510</v>
      </c>
      <c r="D47" s="29"/>
    </row>
    <row r="48" spans="1:6" ht="24.95" customHeight="1" x14ac:dyDescent="0.25">
      <c r="A48" s="57" t="s">
        <v>111</v>
      </c>
      <c r="B48" s="29" t="s">
        <v>135</v>
      </c>
      <c r="C48" s="30">
        <v>601</v>
      </c>
      <c r="D48" s="29"/>
    </row>
    <row r="49" spans="1:4" ht="24.95" customHeight="1" x14ac:dyDescent="0.25">
      <c r="A49" s="57" t="s">
        <v>111</v>
      </c>
      <c r="B49" s="29" t="s">
        <v>136</v>
      </c>
      <c r="C49" s="30">
        <v>709</v>
      </c>
      <c r="D49" s="29"/>
    </row>
    <row r="50" spans="1:4" ht="24.95" customHeight="1" x14ac:dyDescent="0.25">
      <c r="A50" s="57" t="s">
        <v>111</v>
      </c>
      <c r="B50" s="29" t="s">
        <v>137</v>
      </c>
      <c r="C50" s="30">
        <v>809</v>
      </c>
      <c r="D50" s="29"/>
    </row>
    <row r="51" spans="1:4" ht="24.95" customHeight="1" x14ac:dyDescent="0.25">
      <c r="A51" s="57" t="s">
        <v>111</v>
      </c>
      <c r="B51" s="29" t="s">
        <v>138</v>
      </c>
      <c r="C51" s="30">
        <v>408</v>
      </c>
      <c r="D51" s="29"/>
    </row>
    <row r="52" spans="1:4" ht="24.95" customHeight="1" x14ac:dyDescent="0.25">
      <c r="A52" s="57" t="s">
        <v>111</v>
      </c>
      <c r="B52" s="29" t="s">
        <v>139</v>
      </c>
      <c r="C52" s="30">
        <v>469</v>
      </c>
      <c r="D52" s="29"/>
    </row>
    <row r="53" spans="1:4" ht="24.95" customHeight="1" x14ac:dyDescent="0.25">
      <c r="A53" s="57" t="s">
        <v>111</v>
      </c>
      <c r="B53" s="29" t="s">
        <v>140</v>
      </c>
      <c r="C53" s="30">
        <v>560</v>
      </c>
      <c r="D53" s="29"/>
    </row>
    <row r="54" spans="1:4" ht="24.95" customHeight="1" x14ac:dyDescent="0.25">
      <c r="A54" s="57" t="s">
        <v>111</v>
      </c>
      <c r="B54" s="29" t="s">
        <v>141</v>
      </c>
      <c r="C54" s="30">
        <v>631</v>
      </c>
      <c r="D54" s="29"/>
    </row>
    <row r="55" spans="1:4" ht="24.95" customHeight="1" x14ac:dyDescent="0.25">
      <c r="A55" s="57" t="s">
        <v>111</v>
      </c>
      <c r="B55" s="29" t="s">
        <v>142</v>
      </c>
      <c r="C55" s="30">
        <v>701</v>
      </c>
      <c r="D55" s="29"/>
    </row>
    <row r="56" spans="1:4" ht="24.95" customHeight="1" x14ac:dyDescent="0.25">
      <c r="A56" s="57" t="s">
        <v>112</v>
      </c>
      <c r="B56" s="29" t="s">
        <v>143</v>
      </c>
      <c r="C56" s="30">
        <v>268</v>
      </c>
      <c r="D56" s="29"/>
    </row>
    <row r="57" spans="1:4" ht="24.95" customHeight="1" x14ac:dyDescent="0.25">
      <c r="A57" s="57" t="s">
        <v>112</v>
      </c>
      <c r="B57" s="29" t="s">
        <v>144</v>
      </c>
      <c r="C57" s="30">
        <v>331</v>
      </c>
      <c r="D57" s="29"/>
    </row>
    <row r="58" spans="1:4" ht="24.95" customHeight="1" x14ac:dyDescent="0.25">
      <c r="A58" s="57" t="s">
        <v>112</v>
      </c>
      <c r="B58" s="29" t="s">
        <v>145</v>
      </c>
      <c r="C58" s="30">
        <v>393</v>
      </c>
      <c r="D58" s="29"/>
    </row>
    <row r="59" spans="1:4" ht="24.95" customHeight="1" x14ac:dyDescent="0.25">
      <c r="A59" s="57" t="s">
        <v>112</v>
      </c>
      <c r="B59" s="29" t="s">
        <v>146</v>
      </c>
      <c r="C59" s="30">
        <v>476</v>
      </c>
      <c r="D59" s="29"/>
    </row>
    <row r="60" spans="1:4" ht="24.95" customHeight="1" x14ac:dyDescent="0.25">
      <c r="A60" s="57" t="s">
        <v>112</v>
      </c>
      <c r="B60" s="29" t="s">
        <v>147</v>
      </c>
      <c r="C60" s="30">
        <v>552</v>
      </c>
      <c r="D60" s="29"/>
    </row>
    <row r="61" spans="1:4" ht="24.95" customHeight="1" x14ac:dyDescent="0.25">
      <c r="A61" s="57" t="s">
        <v>112</v>
      </c>
      <c r="B61" s="29" t="s">
        <v>148</v>
      </c>
      <c r="C61" s="30">
        <v>631</v>
      </c>
      <c r="D61" s="29"/>
    </row>
    <row r="62" spans="1:4" ht="24.95" customHeight="1" x14ac:dyDescent="0.25">
      <c r="A62" s="57" t="s">
        <v>112</v>
      </c>
      <c r="B62" s="29" t="s">
        <v>149</v>
      </c>
      <c r="C62" s="30">
        <v>376</v>
      </c>
      <c r="D62" s="29"/>
    </row>
    <row r="63" spans="1:4" ht="24.95" customHeight="1" x14ac:dyDescent="0.25">
      <c r="A63" s="57" t="s">
        <v>112</v>
      </c>
      <c r="B63" s="29" t="s">
        <v>150</v>
      </c>
      <c r="C63" s="30">
        <v>465</v>
      </c>
      <c r="D63" s="29"/>
    </row>
    <row r="64" spans="1:4" ht="24.95" customHeight="1" x14ac:dyDescent="0.25">
      <c r="A64" s="57" t="s">
        <v>112</v>
      </c>
      <c r="B64" s="29" t="s">
        <v>151</v>
      </c>
      <c r="C64" s="30">
        <v>566</v>
      </c>
      <c r="D64" s="29"/>
    </row>
    <row r="65" spans="1:4" ht="24.95" customHeight="1" x14ac:dyDescent="0.25">
      <c r="A65" s="57" t="s">
        <v>112</v>
      </c>
      <c r="B65" s="29" t="s">
        <v>152</v>
      </c>
      <c r="C65" s="30">
        <v>667</v>
      </c>
      <c r="D65" s="29"/>
    </row>
    <row r="66" spans="1:4" ht="24.95" customHeight="1" x14ac:dyDescent="0.25">
      <c r="A66" s="57" t="s">
        <v>112</v>
      </c>
      <c r="B66" s="29" t="s">
        <v>153</v>
      </c>
      <c r="C66" s="30">
        <v>764</v>
      </c>
      <c r="D66" s="29"/>
    </row>
    <row r="67" spans="1:4" ht="24.95" customHeight="1" x14ac:dyDescent="0.25">
      <c r="A67" s="57" t="s">
        <v>112</v>
      </c>
      <c r="B67" s="29" t="s">
        <v>154</v>
      </c>
      <c r="C67" s="30">
        <v>880</v>
      </c>
      <c r="D67" s="29"/>
    </row>
    <row r="68" spans="1:4" ht="24.95" customHeight="1" x14ac:dyDescent="0.25">
      <c r="A68" s="57" t="s">
        <v>112</v>
      </c>
      <c r="B68" s="29" t="s">
        <v>155</v>
      </c>
      <c r="C68" s="30">
        <v>400</v>
      </c>
      <c r="D68" s="29"/>
    </row>
    <row r="69" spans="1:4" ht="24.95" customHeight="1" x14ac:dyDescent="0.25">
      <c r="A69" s="57" t="s">
        <v>112</v>
      </c>
      <c r="B69" s="29" t="s">
        <v>156</v>
      </c>
      <c r="C69" s="30">
        <v>496</v>
      </c>
      <c r="D69" s="29"/>
    </row>
    <row r="70" spans="1:4" ht="24.95" customHeight="1" x14ac:dyDescent="0.25">
      <c r="A70" s="57" t="s">
        <v>112</v>
      </c>
      <c r="B70" s="29" t="s">
        <v>157</v>
      </c>
      <c r="C70" s="30">
        <v>600</v>
      </c>
      <c r="D70" s="29"/>
    </row>
    <row r="71" spans="1:4" ht="24.95" customHeight="1" x14ac:dyDescent="0.25">
      <c r="A71" s="57" t="s">
        <v>112</v>
      </c>
      <c r="B71" s="29" t="s">
        <v>158</v>
      </c>
      <c r="C71" s="30">
        <v>656</v>
      </c>
      <c r="D71" s="29"/>
    </row>
    <row r="72" spans="1:4" ht="24.95" customHeight="1" x14ac:dyDescent="0.25">
      <c r="A72" s="57" t="s">
        <v>112</v>
      </c>
      <c r="B72" s="29" t="s">
        <v>159</v>
      </c>
      <c r="C72" s="30">
        <v>794</v>
      </c>
      <c r="D72" s="29"/>
    </row>
    <row r="73" spans="1:4" ht="24.95" customHeight="1" x14ac:dyDescent="0.25">
      <c r="A73" s="57" t="s">
        <v>112</v>
      </c>
      <c r="B73" s="29" t="s">
        <v>160</v>
      </c>
      <c r="C73" s="30">
        <v>900</v>
      </c>
      <c r="D73" s="29"/>
    </row>
    <row r="74" spans="1:4" ht="24.95" customHeight="1" x14ac:dyDescent="0.25">
      <c r="A74" s="57" t="s">
        <v>112</v>
      </c>
      <c r="B74" s="29" t="s">
        <v>161</v>
      </c>
      <c r="C74" s="30">
        <v>498</v>
      </c>
      <c r="D74" s="29"/>
    </row>
    <row r="75" spans="1:4" ht="24.95" customHeight="1" x14ac:dyDescent="0.25">
      <c r="A75" s="57" t="s">
        <v>112</v>
      </c>
      <c r="B75" s="29" t="s">
        <v>162</v>
      </c>
      <c r="C75" s="30">
        <v>609</v>
      </c>
      <c r="D75" s="29"/>
    </row>
    <row r="76" spans="1:4" ht="24.95" customHeight="1" x14ac:dyDescent="0.25">
      <c r="A76" s="57" t="s">
        <v>112</v>
      </c>
      <c r="B76" s="29" t="s">
        <v>163</v>
      </c>
      <c r="C76" s="30">
        <v>742</v>
      </c>
      <c r="D76" s="29"/>
    </row>
    <row r="77" spans="1:4" ht="24.95" customHeight="1" x14ac:dyDescent="0.25">
      <c r="A77" s="57" t="s">
        <v>112</v>
      </c>
      <c r="B77" s="29" t="s">
        <v>164</v>
      </c>
      <c r="C77" s="30">
        <v>874</v>
      </c>
      <c r="D77" s="29"/>
    </row>
    <row r="78" spans="1:4" ht="24.95" customHeight="1" x14ac:dyDescent="0.25">
      <c r="A78" s="57" t="s">
        <v>112</v>
      </c>
      <c r="B78" s="29" t="s">
        <v>165</v>
      </c>
      <c r="C78" s="30">
        <v>1031</v>
      </c>
      <c r="D78" s="29"/>
    </row>
    <row r="79" spans="1:4" ht="24.95" customHeight="1" x14ac:dyDescent="0.25">
      <c r="A79" s="57" t="s">
        <v>112</v>
      </c>
      <c r="B79" s="29" t="s">
        <v>166</v>
      </c>
      <c r="C79" s="30">
        <v>1187</v>
      </c>
      <c r="D79" s="29"/>
    </row>
    <row r="80" spans="1:4" ht="24.95" customHeight="1" x14ac:dyDescent="0.25">
      <c r="A80" s="57" t="s">
        <v>113</v>
      </c>
      <c r="B80" s="29" t="s">
        <v>167</v>
      </c>
      <c r="C80" s="30">
        <v>270</v>
      </c>
      <c r="D80" s="29"/>
    </row>
    <row r="81" spans="1:4" ht="24.95" customHeight="1" x14ac:dyDescent="0.25">
      <c r="A81" s="57" t="s">
        <v>113</v>
      </c>
      <c r="B81" s="29" t="s">
        <v>168</v>
      </c>
      <c r="C81" s="30">
        <v>331</v>
      </c>
      <c r="D81" s="29"/>
    </row>
    <row r="82" spans="1:4" ht="24.95" customHeight="1" x14ac:dyDescent="0.25">
      <c r="A82" s="57" t="s">
        <v>113</v>
      </c>
      <c r="B82" s="29" t="s">
        <v>169</v>
      </c>
      <c r="C82" s="30">
        <v>393</v>
      </c>
      <c r="D82" s="29"/>
    </row>
    <row r="83" spans="1:4" ht="24.95" customHeight="1" x14ac:dyDescent="0.25">
      <c r="A83" s="57" t="s">
        <v>113</v>
      </c>
      <c r="B83" s="29" t="s">
        <v>170</v>
      </c>
      <c r="C83" s="30">
        <v>480</v>
      </c>
      <c r="D83" s="29"/>
    </row>
    <row r="84" spans="1:4" ht="24.95" customHeight="1" x14ac:dyDescent="0.25">
      <c r="A84" s="57" t="s">
        <v>113</v>
      </c>
      <c r="B84" s="29" t="s">
        <v>171</v>
      </c>
      <c r="C84" s="30">
        <v>558</v>
      </c>
      <c r="D84" s="29"/>
    </row>
    <row r="85" spans="1:4" ht="24.95" customHeight="1" x14ac:dyDescent="0.25">
      <c r="A85" s="57" t="s">
        <v>113</v>
      </c>
      <c r="B85" s="29" t="s">
        <v>172</v>
      </c>
      <c r="C85" s="30">
        <v>643</v>
      </c>
      <c r="D85" s="29"/>
    </row>
    <row r="86" spans="1:4" ht="24.95" customHeight="1" x14ac:dyDescent="0.25">
      <c r="A86" s="57" t="s">
        <v>113</v>
      </c>
      <c r="B86" s="29" t="s">
        <v>173</v>
      </c>
      <c r="C86" s="30">
        <v>502</v>
      </c>
      <c r="D86" s="29"/>
    </row>
    <row r="87" spans="1:4" ht="24.95" customHeight="1" x14ac:dyDescent="0.25">
      <c r="A87" s="57" t="s">
        <v>113</v>
      </c>
      <c r="B87" s="29" t="s">
        <v>174</v>
      </c>
      <c r="C87" s="30">
        <v>637</v>
      </c>
      <c r="D87" s="29"/>
    </row>
    <row r="88" spans="1:4" ht="24.95" customHeight="1" x14ac:dyDescent="0.25">
      <c r="A88" s="57" t="s">
        <v>113</v>
      </c>
      <c r="B88" s="29" t="s">
        <v>175</v>
      </c>
      <c r="C88" s="30">
        <v>779</v>
      </c>
      <c r="D88" s="29"/>
    </row>
    <row r="89" spans="1:4" ht="24.95" customHeight="1" x14ac:dyDescent="0.25">
      <c r="A89" s="57" t="s">
        <v>113</v>
      </c>
      <c r="B89" s="29" t="s">
        <v>176</v>
      </c>
      <c r="C89" s="30">
        <v>971</v>
      </c>
      <c r="D89" s="29"/>
    </row>
    <row r="90" spans="1:4" ht="24.95" customHeight="1" x14ac:dyDescent="0.25">
      <c r="A90" s="57" t="s">
        <v>113</v>
      </c>
      <c r="B90" s="29" t="s">
        <v>177</v>
      </c>
      <c r="C90" s="30">
        <v>1113</v>
      </c>
      <c r="D90" s="29"/>
    </row>
    <row r="91" spans="1:4" ht="24.95" customHeight="1" x14ac:dyDescent="0.25">
      <c r="A91" s="57" t="s">
        <v>113</v>
      </c>
      <c r="B91" s="29" t="s">
        <v>178</v>
      </c>
      <c r="C91" s="30">
        <v>1293</v>
      </c>
      <c r="D91" s="29"/>
    </row>
    <row r="92" spans="1:4" ht="24.95" customHeight="1" x14ac:dyDescent="0.25">
      <c r="A92" s="57" t="s">
        <v>113</v>
      </c>
      <c r="B92" s="29" t="s">
        <v>179</v>
      </c>
      <c r="C92" s="30">
        <v>644</v>
      </c>
      <c r="D92" s="29"/>
    </row>
    <row r="93" spans="1:4" ht="24.95" customHeight="1" x14ac:dyDescent="0.25">
      <c r="A93" s="57" t="s">
        <v>113</v>
      </c>
      <c r="B93" s="29" t="s">
        <v>180</v>
      </c>
      <c r="C93" s="30">
        <v>798</v>
      </c>
      <c r="D93" s="29"/>
    </row>
    <row r="94" spans="1:4" ht="24.95" customHeight="1" x14ac:dyDescent="0.25">
      <c r="A94" s="57" t="s">
        <v>113</v>
      </c>
      <c r="B94" s="29" t="s">
        <v>181</v>
      </c>
      <c r="C94" s="30">
        <v>965</v>
      </c>
      <c r="D94" s="29"/>
    </row>
    <row r="95" spans="1:4" ht="24.95" customHeight="1" x14ac:dyDescent="0.25">
      <c r="A95" s="57" t="s">
        <v>113</v>
      </c>
      <c r="B95" s="29" t="s">
        <v>182</v>
      </c>
      <c r="C95" s="30">
        <v>1168</v>
      </c>
      <c r="D95" s="29"/>
    </row>
    <row r="96" spans="1:4" ht="24.95" customHeight="1" x14ac:dyDescent="0.25">
      <c r="A96" s="57" t="s">
        <v>113</v>
      </c>
      <c r="B96" s="29" t="s">
        <v>183</v>
      </c>
      <c r="C96" s="30">
        <v>1333</v>
      </c>
      <c r="D96" s="29"/>
    </row>
    <row r="97" spans="1:4" ht="24.95" customHeight="1" x14ac:dyDescent="0.25">
      <c r="A97" s="57" t="s">
        <v>113</v>
      </c>
      <c r="B97" s="29" t="s">
        <v>184</v>
      </c>
      <c r="C97" s="30">
        <v>1560</v>
      </c>
      <c r="D97" s="29"/>
    </row>
    <row r="98" spans="1:4" ht="24.95" customHeight="1" x14ac:dyDescent="0.25">
      <c r="A98" s="57" t="s">
        <v>113</v>
      </c>
      <c r="B98" s="29" t="s">
        <v>185</v>
      </c>
      <c r="C98" s="30">
        <v>759</v>
      </c>
      <c r="D98" s="29"/>
    </row>
    <row r="99" spans="1:4" ht="24.95" customHeight="1" x14ac:dyDescent="0.25">
      <c r="A99" s="57" t="s">
        <v>113</v>
      </c>
      <c r="B99" s="29" t="s">
        <v>186</v>
      </c>
      <c r="C99" s="30">
        <v>940</v>
      </c>
      <c r="D99" s="29"/>
    </row>
    <row r="100" spans="1:4" ht="24.95" customHeight="1" x14ac:dyDescent="0.25">
      <c r="A100" s="57" t="s">
        <v>113</v>
      </c>
      <c r="B100" s="29" t="s">
        <v>187</v>
      </c>
      <c r="C100" s="30">
        <v>1176</v>
      </c>
      <c r="D100" s="29"/>
    </row>
    <row r="101" spans="1:4" ht="24.95" customHeight="1" x14ac:dyDescent="0.25">
      <c r="A101" s="57" t="s">
        <v>113</v>
      </c>
      <c r="B101" s="29" t="s">
        <v>188</v>
      </c>
      <c r="C101" s="30">
        <v>1383</v>
      </c>
      <c r="D101" s="29"/>
    </row>
    <row r="102" spans="1:4" ht="24.95" customHeight="1" x14ac:dyDescent="0.25">
      <c r="A102" s="57" t="s">
        <v>113</v>
      </c>
      <c r="B102" s="29" t="s">
        <v>189</v>
      </c>
      <c r="C102" s="30">
        <v>1575</v>
      </c>
      <c r="D102" s="29"/>
    </row>
    <row r="103" spans="1:4" ht="24.95" customHeight="1" x14ac:dyDescent="0.25">
      <c r="A103" s="57" t="s">
        <v>113</v>
      </c>
      <c r="B103" s="29" t="s">
        <v>190</v>
      </c>
      <c r="C103" s="30">
        <v>1840</v>
      </c>
      <c r="D103" s="29"/>
    </row>
  </sheetData>
  <autoFilter ref="A1:U103" xr:uid="{84FF7523-E42A-428C-AD8E-4E27516CBE10}"/>
  <hyperlinks>
    <hyperlink ref="H2" r:id="rId1" xr:uid="{CBA4503E-4CD5-4C2A-B23B-0565170C684F}"/>
  </hyperlinks>
  <pageMargins left="0.7" right="0.7" top="0.75" bottom="0.75" header="0.3" footer="0.3"/>
  <ignoredErrors>
    <ignoredError sqref="P2:U4"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W59"/>
  <sheetViews>
    <sheetView view="pageBreakPreview" zoomScale="80" zoomScaleNormal="100" zoomScaleSheetLayoutView="80" workbookViewId="0">
      <selection activeCell="AA11" sqref="AA11"/>
    </sheetView>
  </sheetViews>
  <sheetFormatPr defaultRowHeight="15" customHeight="1" x14ac:dyDescent="0.25"/>
  <cols>
    <col min="1" max="1" width="5.7109375" style="2" customWidth="1"/>
    <col min="2" max="2" width="7.7109375" style="2" customWidth="1"/>
    <col min="3" max="3" width="2.7109375" style="2" customWidth="1"/>
    <col min="4" max="7" width="7.7109375" style="2" customWidth="1"/>
    <col min="8" max="8" width="7.7109375" style="5" hidden="1" customWidth="1"/>
    <col min="9" max="9" width="7.7109375" style="5" customWidth="1"/>
    <col min="10" max="10" width="1.7109375" style="2" customWidth="1"/>
    <col min="11" max="11" width="7.7109375" style="2" customWidth="1"/>
    <col min="12" max="12" width="2.7109375" style="2" customWidth="1"/>
    <col min="13" max="16" width="7.7109375" style="2" customWidth="1"/>
    <col min="17" max="17" width="7.7109375" style="5" hidden="1" customWidth="1"/>
    <col min="18" max="18" width="7.7109375" style="5" customWidth="1"/>
    <col min="19" max="16384" width="9.140625" style="2"/>
  </cols>
  <sheetData>
    <row r="1" spans="2:23" ht="20.100000000000001" customHeight="1" x14ac:dyDescent="0.25">
      <c r="C1" s="27"/>
      <c r="D1" s="27"/>
      <c r="E1" s="71" t="s">
        <v>73</v>
      </c>
      <c r="F1" s="71"/>
      <c r="G1" s="71"/>
      <c r="H1" s="71"/>
      <c r="I1" s="71"/>
      <c r="J1" s="71"/>
      <c r="K1" s="71"/>
      <c r="L1" s="71"/>
      <c r="M1" s="71"/>
      <c r="N1" s="71"/>
      <c r="O1" s="27"/>
      <c r="P1" s="27"/>
      <c r="Q1" s="27"/>
    </row>
    <row r="2" spans="2:23" ht="20.100000000000001" customHeight="1" x14ac:dyDescent="0.25">
      <c r="C2" s="27"/>
      <c r="D2" s="27"/>
      <c r="E2" s="71" t="s">
        <v>220</v>
      </c>
      <c r="F2" s="71"/>
      <c r="G2" s="71"/>
      <c r="H2" s="71"/>
      <c r="I2" s="71"/>
      <c r="J2" s="71"/>
      <c r="K2" s="71"/>
      <c r="L2" s="71"/>
      <c r="M2" s="71"/>
      <c r="N2" s="71"/>
      <c r="O2" s="27"/>
      <c r="P2" s="27"/>
      <c r="Q2" s="27"/>
    </row>
    <row r="3" spans="2:23" ht="15" customHeight="1" x14ac:dyDescent="0.25">
      <c r="B3" s="60" t="s">
        <v>31</v>
      </c>
      <c r="C3" s="60"/>
      <c r="D3" s="74">
        <f ca="1">+TODAY()</f>
        <v>46048</v>
      </c>
      <c r="E3" s="74"/>
      <c r="F3" s="74"/>
      <c r="G3" s="74"/>
      <c r="I3" s="60" t="s">
        <v>33</v>
      </c>
      <c r="J3" s="60"/>
      <c r="K3" s="60"/>
      <c r="L3" s="60"/>
      <c r="M3" s="62"/>
      <c r="N3" s="62"/>
      <c r="O3" s="62"/>
      <c r="P3" s="62"/>
      <c r="Q3" s="62"/>
      <c r="R3" s="62"/>
    </row>
    <row r="4" spans="2:23" ht="15" customHeight="1" x14ac:dyDescent="0.25">
      <c r="B4" s="60" t="s">
        <v>32</v>
      </c>
      <c r="C4" s="60"/>
      <c r="D4" s="61"/>
      <c r="E4" s="61"/>
      <c r="F4" s="61"/>
      <c r="G4" s="61"/>
      <c r="I4" s="60" t="s">
        <v>34</v>
      </c>
      <c r="J4" s="60"/>
      <c r="K4" s="60"/>
      <c r="L4" s="60"/>
      <c r="M4" s="59"/>
      <c r="N4" s="59"/>
      <c r="O4" s="59"/>
      <c r="P4" s="59"/>
      <c r="Q4" s="59"/>
      <c r="R4" s="59"/>
    </row>
    <row r="5" spans="2:23" ht="15" customHeight="1" x14ac:dyDescent="0.25">
      <c r="B5" s="60" t="s">
        <v>35</v>
      </c>
      <c r="C5" s="60"/>
      <c r="D5" s="59"/>
      <c r="E5" s="59"/>
      <c r="F5" s="59"/>
      <c r="G5" s="59"/>
      <c r="H5" s="59"/>
      <c r="I5" s="59"/>
      <c r="J5" s="59"/>
      <c r="K5" s="59"/>
      <c r="L5" s="59"/>
      <c r="M5" s="59"/>
      <c r="N5" s="59"/>
      <c r="O5" s="59"/>
      <c r="P5" s="59"/>
      <c r="Q5" s="59"/>
      <c r="R5" s="59"/>
    </row>
    <row r="6" spans="2:23" ht="15" customHeight="1" x14ac:dyDescent="0.25">
      <c r="B6" s="25" t="s">
        <v>40</v>
      </c>
      <c r="Q6" s="2"/>
      <c r="R6" s="2"/>
    </row>
    <row r="7" spans="2:23" ht="15" customHeight="1" x14ac:dyDescent="0.25">
      <c r="B7" s="26">
        <v>1</v>
      </c>
      <c r="C7" s="26"/>
      <c r="D7" s="58"/>
      <c r="E7" s="58"/>
      <c r="F7" s="58"/>
      <c r="G7" s="58"/>
      <c r="H7" s="58"/>
      <c r="I7" s="58"/>
      <c r="J7" s="58"/>
      <c r="K7" s="58"/>
      <c r="L7" s="58"/>
      <c r="M7" s="58"/>
      <c r="N7" s="58"/>
      <c r="O7" s="58"/>
      <c r="P7" s="58"/>
      <c r="Q7" s="58"/>
      <c r="R7" s="58"/>
    </row>
    <row r="8" spans="2:23" ht="15" customHeight="1" x14ac:dyDescent="0.25">
      <c r="B8" s="26">
        <v>2</v>
      </c>
      <c r="C8" s="26"/>
      <c r="D8" s="58"/>
      <c r="E8" s="58"/>
      <c r="F8" s="58"/>
      <c r="G8" s="58"/>
      <c r="H8" s="58"/>
      <c r="I8" s="58"/>
      <c r="J8" s="58"/>
      <c r="K8" s="58"/>
      <c r="L8" s="58"/>
      <c r="M8" s="58"/>
      <c r="N8" s="58"/>
      <c r="O8" s="58"/>
      <c r="P8" s="58"/>
      <c r="Q8" s="58"/>
      <c r="R8" s="58"/>
    </row>
    <row r="9" spans="2:23" ht="15" customHeight="1" x14ac:dyDescent="0.25">
      <c r="B9" s="26">
        <v>3</v>
      </c>
      <c r="C9" s="26"/>
      <c r="D9" s="58"/>
      <c r="E9" s="58"/>
      <c r="F9" s="58"/>
      <c r="G9" s="58"/>
      <c r="H9" s="58"/>
      <c r="I9" s="58"/>
      <c r="J9" s="58"/>
      <c r="K9" s="58"/>
      <c r="L9" s="58"/>
      <c r="M9" s="58"/>
      <c r="N9" s="58"/>
      <c r="O9" s="58"/>
      <c r="P9" s="58"/>
      <c r="Q9" s="58"/>
      <c r="R9" s="58"/>
    </row>
    <row r="10" spans="2:23" ht="15" customHeight="1" x14ac:dyDescent="0.25">
      <c r="B10" s="26">
        <v>4</v>
      </c>
      <c r="C10" s="26"/>
      <c r="D10" s="58"/>
      <c r="E10" s="58"/>
      <c r="F10" s="58"/>
      <c r="G10" s="58"/>
      <c r="H10" s="58"/>
      <c r="I10" s="58"/>
      <c r="J10" s="58"/>
      <c r="K10" s="58"/>
      <c r="L10" s="58"/>
      <c r="M10" s="58"/>
      <c r="N10" s="58"/>
      <c r="O10" s="58"/>
      <c r="P10" s="58"/>
      <c r="Q10" s="58"/>
      <c r="R10" s="58"/>
    </row>
    <row r="11" spans="2:23" ht="15" customHeight="1" x14ac:dyDescent="0.25">
      <c r="B11" s="2">
        <v>5</v>
      </c>
      <c r="D11" s="58"/>
      <c r="E11" s="58"/>
      <c r="F11" s="58"/>
      <c r="G11" s="58"/>
      <c r="H11" s="58"/>
      <c r="I11" s="58"/>
      <c r="J11" s="58"/>
      <c r="K11" s="58"/>
      <c r="L11" s="58"/>
      <c r="M11" s="58"/>
      <c r="N11" s="58"/>
      <c r="O11" s="58"/>
      <c r="P11" s="58"/>
      <c r="Q11" s="58"/>
      <c r="R11" s="58"/>
    </row>
    <row r="12" spans="2:23" ht="15" customHeight="1" x14ac:dyDescent="0.25">
      <c r="B12" s="2">
        <v>6</v>
      </c>
      <c r="D12" s="58"/>
      <c r="E12" s="58"/>
      <c r="F12" s="58"/>
      <c r="G12" s="58"/>
      <c r="H12" s="58"/>
      <c r="I12" s="58"/>
      <c r="J12" s="58"/>
      <c r="K12" s="58"/>
      <c r="L12" s="58"/>
      <c r="M12" s="58"/>
      <c r="N12" s="58"/>
      <c r="O12" s="58"/>
      <c r="P12" s="58"/>
      <c r="Q12" s="58"/>
      <c r="R12" s="58"/>
    </row>
    <row r="13" spans="2:23" s="1" customFormat="1" ht="15" customHeight="1" x14ac:dyDescent="0.25">
      <c r="B13" s="34" t="s">
        <v>0</v>
      </c>
      <c r="C13" s="72" t="s">
        <v>1</v>
      </c>
      <c r="D13" s="72"/>
      <c r="E13" s="72"/>
      <c r="F13" s="72"/>
      <c r="G13" s="72"/>
      <c r="H13" s="35" t="s">
        <v>29</v>
      </c>
      <c r="I13" s="36" t="s">
        <v>30</v>
      </c>
      <c r="J13" s="37"/>
      <c r="K13" s="34" t="s">
        <v>0</v>
      </c>
      <c r="L13" s="73" t="s">
        <v>1</v>
      </c>
      <c r="M13" s="73"/>
      <c r="N13" s="73"/>
      <c r="O13" s="73"/>
      <c r="P13" s="73"/>
      <c r="Q13" s="35" t="s">
        <v>29</v>
      </c>
      <c r="R13" s="36" t="s">
        <v>30</v>
      </c>
    </row>
    <row r="14" spans="2:23" s="4" customFormat="1" ht="15" customHeight="1" x14ac:dyDescent="0.25">
      <c r="B14" s="31" t="s">
        <v>2</v>
      </c>
      <c r="C14" s="64" t="s">
        <v>41</v>
      </c>
      <c r="D14" s="65"/>
      <c r="E14" s="65"/>
      <c r="F14" s="65"/>
      <c r="G14" s="66"/>
      <c r="H14" s="32"/>
      <c r="I14" s="32"/>
      <c r="J14" s="33"/>
      <c r="K14" s="31" t="s">
        <v>4</v>
      </c>
      <c r="L14" s="64" t="s">
        <v>43</v>
      </c>
      <c r="M14" s="65"/>
      <c r="N14" s="65"/>
      <c r="O14" s="65"/>
      <c r="P14" s="66"/>
      <c r="Q14" s="7"/>
      <c r="R14" s="7"/>
    </row>
    <row r="15" spans="2:23" s="4" customFormat="1" ht="15" customHeight="1" x14ac:dyDescent="0.25">
      <c r="B15" s="31" t="s">
        <v>3</v>
      </c>
      <c r="C15" s="64" t="s">
        <v>42</v>
      </c>
      <c r="D15" s="65"/>
      <c r="E15" s="65"/>
      <c r="F15" s="65"/>
      <c r="G15" s="66"/>
      <c r="H15" s="32"/>
      <c r="I15" s="32"/>
      <c r="J15" s="33"/>
      <c r="K15" s="31" t="s">
        <v>5</v>
      </c>
      <c r="L15" s="64" t="s">
        <v>44</v>
      </c>
      <c r="M15" s="65"/>
      <c r="N15" s="65"/>
      <c r="O15" s="65"/>
      <c r="P15" s="66"/>
      <c r="Q15" s="32"/>
      <c r="R15" s="32"/>
      <c r="W15"/>
    </row>
    <row r="16" spans="2:23" s="4" customFormat="1" ht="15" customHeight="1" x14ac:dyDescent="0.25">
      <c r="B16" s="31" t="s">
        <v>6</v>
      </c>
      <c r="C16" s="64" t="s">
        <v>69</v>
      </c>
      <c r="D16" s="65"/>
      <c r="E16" s="65"/>
      <c r="F16" s="65"/>
      <c r="G16" s="66"/>
      <c r="H16" s="32"/>
      <c r="I16" s="32">
        <f>+SUMPRODUCT(Q17:Q26,R17:R26)+SUMPRODUCT(H17:H26,I17:I26)</f>
        <v>0</v>
      </c>
      <c r="J16" s="33"/>
      <c r="K16" s="31" t="s">
        <v>16</v>
      </c>
      <c r="L16" s="64" t="s">
        <v>28</v>
      </c>
      <c r="M16" s="65"/>
      <c r="N16" s="65"/>
      <c r="O16" s="65"/>
      <c r="P16" s="66"/>
      <c r="Q16" s="32"/>
      <c r="R16" s="32">
        <v>0</v>
      </c>
    </row>
    <row r="17" spans="2:18" s="4" customFormat="1" ht="15" customHeight="1" x14ac:dyDescent="0.25">
      <c r="B17" s="3" t="s">
        <v>21</v>
      </c>
      <c r="C17" s="67" t="s">
        <v>50</v>
      </c>
      <c r="D17" s="68"/>
      <c r="E17" s="68"/>
      <c r="F17" s="68"/>
      <c r="G17" s="69"/>
      <c r="H17" s="7">
        <v>995</v>
      </c>
      <c r="I17" s="7"/>
      <c r="K17" s="3" t="s">
        <v>11</v>
      </c>
      <c r="L17" s="67" t="s">
        <v>52</v>
      </c>
      <c r="M17" s="68"/>
      <c r="N17" s="68"/>
      <c r="O17" s="68"/>
      <c r="P17" s="69"/>
      <c r="Q17" s="7">
        <v>230</v>
      </c>
      <c r="R17" s="7"/>
    </row>
    <row r="18" spans="2:18" s="4" customFormat="1" ht="15" customHeight="1" x14ac:dyDescent="0.25">
      <c r="B18" s="3" t="s">
        <v>23</v>
      </c>
      <c r="C18" s="67" t="s">
        <v>51</v>
      </c>
      <c r="D18" s="68"/>
      <c r="E18" s="68"/>
      <c r="F18" s="68"/>
      <c r="G18" s="69"/>
      <c r="H18" s="7">
        <v>207</v>
      </c>
      <c r="I18" s="7"/>
      <c r="K18" s="3" t="s">
        <v>12</v>
      </c>
      <c r="L18" s="67" t="s">
        <v>53</v>
      </c>
      <c r="M18" s="68"/>
      <c r="N18" s="68"/>
      <c r="O18" s="68"/>
      <c r="P18" s="69"/>
      <c r="Q18" s="7">
        <v>280</v>
      </c>
      <c r="R18" s="7"/>
    </row>
    <row r="19" spans="2:18" s="4" customFormat="1" ht="15" customHeight="1" x14ac:dyDescent="0.25">
      <c r="B19" s="3" t="s">
        <v>24</v>
      </c>
      <c r="C19" s="67" t="s">
        <v>54</v>
      </c>
      <c r="D19" s="68"/>
      <c r="E19" s="68"/>
      <c r="F19" s="68"/>
      <c r="G19" s="69"/>
      <c r="H19" s="7">
        <v>245</v>
      </c>
      <c r="I19" s="7"/>
      <c r="K19" s="3" t="s">
        <v>13</v>
      </c>
      <c r="L19" s="67" t="s">
        <v>55</v>
      </c>
      <c r="M19" s="68"/>
      <c r="N19" s="68"/>
      <c r="O19" s="68"/>
      <c r="P19" s="69"/>
      <c r="Q19" s="7">
        <v>298</v>
      </c>
      <c r="R19" s="7"/>
    </row>
    <row r="20" spans="2:18" s="4" customFormat="1" ht="15" customHeight="1" x14ac:dyDescent="0.25">
      <c r="B20" s="3" t="s">
        <v>25</v>
      </c>
      <c r="C20" s="67" t="s">
        <v>56</v>
      </c>
      <c r="D20" s="68"/>
      <c r="E20" s="68"/>
      <c r="F20" s="68"/>
      <c r="G20" s="69"/>
      <c r="H20" s="7">
        <v>258</v>
      </c>
      <c r="I20" s="7"/>
      <c r="K20" s="3" t="s">
        <v>14</v>
      </c>
      <c r="L20" s="67" t="s">
        <v>57</v>
      </c>
      <c r="M20" s="68"/>
      <c r="N20" s="68"/>
      <c r="O20" s="68"/>
      <c r="P20" s="69"/>
      <c r="Q20" s="7">
        <v>362</v>
      </c>
      <c r="R20" s="7"/>
    </row>
    <row r="21" spans="2:18" s="4" customFormat="1" ht="15" customHeight="1" x14ac:dyDescent="0.25">
      <c r="B21" s="3" t="s">
        <v>26</v>
      </c>
      <c r="C21" s="67" t="s">
        <v>58</v>
      </c>
      <c r="D21" s="68"/>
      <c r="E21" s="68"/>
      <c r="F21" s="68"/>
      <c r="G21" s="69"/>
      <c r="H21" s="7">
        <v>315</v>
      </c>
      <c r="I21" s="7"/>
      <c r="K21" s="3" t="s">
        <v>15</v>
      </c>
      <c r="L21" s="67" t="s">
        <v>59</v>
      </c>
      <c r="M21" s="68"/>
      <c r="N21" s="68"/>
      <c r="O21" s="68"/>
      <c r="P21" s="69"/>
      <c r="Q21" s="7">
        <v>373</v>
      </c>
      <c r="R21" s="7"/>
    </row>
    <row r="22" spans="2:18" s="4" customFormat="1" ht="15" customHeight="1" x14ac:dyDescent="0.25">
      <c r="B22" s="3" t="s">
        <v>27</v>
      </c>
      <c r="C22" s="67" t="s">
        <v>60</v>
      </c>
      <c r="D22" s="68"/>
      <c r="E22" s="68"/>
      <c r="F22" s="68"/>
      <c r="G22" s="69"/>
      <c r="H22" s="7">
        <v>326</v>
      </c>
      <c r="I22" s="7"/>
      <c r="K22" s="3" t="s">
        <v>17</v>
      </c>
      <c r="L22" s="67" t="s">
        <v>61</v>
      </c>
      <c r="M22" s="68"/>
      <c r="N22" s="68"/>
      <c r="O22" s="68"/>
      <c r="P22" s="69"/>
      <c r="Q22" s="7">
        <v>449</v>
      </c>
      <c r="R22" s="7"/>
    </row>
    <row r="23" spans="2:18" s="4" customFormat="1" ht="15" customHeight="1" x14ac:dyDescent="0.25">
      <c r="B23" s="3" t="s">
        <v>7</v>
      </c>
      <c r="C23" s="67" t="s">
        <v>62</v>
      </c>
      <c r="D23" s="68"/>
      <c r="E23" s="68"/>
      <c r="F23" s="68"/>
      <c r="G23" s="69"/>
      <c r="H23" s="7">
        <v>504</v>
      </c>
      <c r="I23" s="7"/>
      <c r="K23" s="3" t="s">
        <v>18</v>
      </c>
      <c r="L23" s="67" t="s">
        <v>63</v>
      </c>
      <c r="M23" s="68"/>
      <c r="N23" s="68"/>
      <c r="O23" s="68"/>
      <c r="P23" s="69"/>
      <c r="Q23" s="7">
        <v>566</v>
      </c>
      <c r="R23" s="7"/>
    </row>
    <row r="24" spans="2:18" s="4" customFormat="1" ht="15" customHeight="1" x14ac:dyDescent="0.25">
      <c r="B24" s="3" t="s">
        <v>8</v>
      </c>
      <c r="C24" s="67" t="s">
        <v>64</v>
      </c>
      <c r="D24" s="68"/>
      <c r="E24" s="68"/>
      <c r="F24" s="68"/>
      <c r="G24" s="69"/>
      <c r="H24" s="7">
        <v>578</v>
      </c>
      <c r="I24" s="7"/>
      <c r="K24" s="3" t="s">
        <v>19</v>
      </c>
      <c r="L24" s="67" t="s">
        <v>65</v>
      </c>
      <c r="M24" s="68"/>
      <c r="N24" s="68"/>
      <c r="O24" s="68"/>
      <c r="P24" s="69"/>
      <c r="Q24" s="7">
        <v>790</v>
      </c>
      <c r="R24" s="7"/>
    </row>
    <row r="25" spans="2:18" s="4" customFormat="1" ht="15" customHeight="1" x14ac:dyDescent="0.25">
      <c r="B25" s="3" t="s">
        <v>9</v>
      </c>
      <c r="C25" s="67" t="s">
        <v>66</v>
      </c>
      <c r="D25" s="68"/>
      <c r="E25" s="68"/>
      <c r="F25" s="68"/>
      <c r="G25" s="69"/>
      <c r="H25" s="7">
        <v>800</v>
      </c>
      <c r="I25" s="7"/>
      <c r="K25" s="3" t="s">
        <v>20</v>
      </c>
      <c r="L25" s="67" t="s">
        <v>67</v>
      </c>
      <c r="M25" s="68"/>
      <c r="N25" s="68"/>
      <c r="O25" s="68"/>
      <c r="P25" s="69"/>
      <c r="Q25" s="7">
        <v>952</v>
      </c>
      <c r="R25" s="7"/>
    </row>
    <row r="26" spans="2:18" s="4" customFormat="1" ht="15" customHeight="1" x14ac:dyDescent="0.25">
      <c r="B26" s="3" t="s">
        <v>10</v>
      </c>
      <c r="C26" s="67" t="s">
        <v>68</v>
      </c>
      <c r="D26" s="68"/>
      <c r="E26" s="68"/>
      <c r="F26" s="68"/>
      <c r="G26" s="69"/>
      <c r="H26" s="7">
        <v>914</v>
      </c>
      <c r="I26" s="7"/>
      <c r="K26" s="3"/>
      <c r="L26" s="67"/>
      <c r="M26" s="68"/>
      <c r="N26" s="68"/>
      <c r="O26" s="68"/>
      <c r="P26" s="69"/>
      <c r="Q26" s="7"/>
      <c r="R26" s="7"/>
    </row>
    <row r="27" spans="2:18" ht="15" customHeight="1" x14ac:dyDescent="0.25">
      <c r="H27" s="8"/>
      <c r="I27" s="8"/>
    </row>
    <row r="28" spans="2:18" ht="15" customHeight="1" x14ac:dyDescent="0.25">
      <c r="H28" s="8"/>
      <c r="I28" s="8"/>
      <c r="M28" s="59" t="s">
        <v>70</v>
      </c>
      <c r="N28" s="59"/>
      <c r="O28" s="59"/>
      <c r="P28" s="59"/>
      <c r="Q28" s="59"/>
      <c r="R28" s="59"/>
    </row>
    <row r="29" spans="2:18" ht="15" customHeight="1" x14ac:dyDescent="0.25">
      <c r="H29" s="8"/>
      <c r="I29" s="8"/>
      <c r="M29" s="70" t="s">
        <v>71</v>
      </c>
      <c r="N29" s="70"/>
      <c r="O29" s="70"/>
      <c r="P29" s="70"/>
      <c r="Q29" s="70"/>
      <c r="R29" s="70"/>
    </row>
    <row r="30" spans="2:18" ht="15" customHeight="1" x14ac:dyDescent="0.25">
      <c r="H30" s="8"/>
      <c r="I30" s="8"/>
    </row>
    <row r="31" spans="2:18" ht="15" customHeight="1" x14ac:dyDescent="0.25">
      <c r="B31" s="63" t="s">
        <v>72</v>
      </c>
      <c r="C31" s="63"/>
      <c r="D31" s="63"/>
      <c r="E31" s="63"/>
      <c r="F31" s="63"/>
      <c r="G31" s="63"/>
      <c r="H31" s="63"/>
      <c r="I31" s="63"/>
      <c r="J31" s="63"/>
      <c r="K31" s="63"/>
      <c r="L31" s="63"/>
      <c r="M31" s="63"/>
      <c r="N31" s="63"/>
      <c r="O31" s="63"/>
      <c r="P31" s="63"/>
      <c r="Q31" s="63"/>
      <c r="R31" s="63"/>
    </row>
    <row r="32" spans="2:18" ht="15" customHeight="1" x14ac:dyDescent="0.25">
      <c r="B32" s="63"/>
      <c r="C32" s="63"/>
      <c r="D32" s="63"/>
      <c r="E32" s="63"/>
      <c r="F32" s="63"/>
      <c r="G32" s="63"/>
      <c r="H32" s="63"/>
      <c r="I32" s="63"/>
      <c r="J32" s="63"/>
      <c r="K32" s="63"/>
      <c r="L32" s="63"/>
      <c r="M32" s="63"/>
      <c r="N32" s="63"/>
      <c r="O32" s="63"/>
      <c r="P32" s="63"/>
      <c r="Q32" s="63"/>
      <c r="R32" s="63"/>
    </row>
    <row r="33" spans="2:18" ht="15" customHeight="1" x14ac:dyDescent="0.25">
      <c r="B33" s="63"/>
      <c r="C33" s="63"/>
      <c r="D33" s="63"/>
      <c r="E33" s="63"/>
      <c r="F33" s="63"/>
      <c r="G33" s="63"/>
      <c r="H33" s="63"/>
      <c r="I33" s="63"/>
      <c r="J33" s="63"/>
      <c r="K33" s="63"/>
      <c r="L33" s="63"/>
      <c r="M33" s="63"/>
      <c r="N33" s="63"/>
      <c r="O33" s="63"/>
      <c r="P33" s="63"/>
      <c r="Q33" s="63"/>
      <c r="R33" s="63"/>
    </row>
    <row r="34" spans="2:18" ht="15" customHeight="1" x14ac:dyDescent="0.25">
      <c r="B34" s="63"/>
      <c r="C34" s="63"/>
      <c r="D34" s="63"/>
      <c r="E34" s="63"/>
      <c r="F34" s="63"/>
      <c r="G34" s="63"/>
      <c r="H34" s="63"/>
      <c r="I34" s="63"/>
      <c r="J34" s="63"/>
      <c r="K34" s="63"/>
      <c r="L34" s="63"/>
      <c r="M34" s="63"/>
      <c r="N34" s="63"/>
      <c r="O34" s="63"/>
      <c r="P34" s="63"/>
      <c r="Q34" s="63"/>
      <c r="R34" s="63"/>
    </row>
    <row r="35" spans="2:18" ht="15" customHeight="1" x14ac:dyDescent="0.25">
      <c r="B35" s="63"/>
      <c r="C35" s="63"/>
      <c r="D35" s="63"/>
      <c r="E35" s="63"/>
      <c r="F35" s="63"/>
      <c r="G35" s="63"/>
      <c r="H35" s="63"/>
      <c r="I35" s="63"/>
      <c r="J35" s="63"/>
      <c r="K35" s="63"/>
      <c r="L35" s="63"/>
      <c r="M35" s="63"/>
      <c r="N35" s="63"/>
      <c r="O35" s="63"/>
      <c r="P35" s="63"/>
      <c r="Q35" s="63"/>
      <c r="R35" s="63"/>
    </row>
    <row r="36" spans="2:18" ht="15" customHeight="1" x14ac:dyDescent="0.25">
      <c r="B36" s="63"/>
      <c r="C36" s="63"/>
      <c r="D36" s="63"/>
      <c r="E36" s="63"/>
      <c r="F36" s="63"/>
      <c r="G36" s="63"/>
      <c r="H36" s="63"/>
      <c r="I36" s="63"/>
      <c r="J36" s="63"/>
      <c r="K36" s="63"/>
      <c r="L36" s="63"/>
      <c r="M36" s="63"/>
      <c r="N36" s="63"/>
      <c r="O36" s="63"/>
      <c r="P36" s="63"/>
      <c r="Q36" s="63"/>
      <c r="R36" s="63"/>
    </row>
    <row r="37" spans="2:18" ht="15" customHeight="1" x14ac:dyDescent="0.25">
      <c r="B37" s="63"/>
      <c r="C37" s="63"/>
      <c r="D37" s="63"/>
      <c r="E37" s="63"/>
      <c r="F37" s="63"/>
      <c r="G37" s="63"/>
      <c r="H37" s="63"/>
      <c r="I37" s="63"/>
      <c r="J37" s="63"/>
      <c r="K37" s="63"/>
      <c r="L37" s="63"/>
      <c r="M37" s="63"/>
      <c r="N37" s="63"/>
      <c r="O37" s="63"/>
      <c r="P37" s="63"/>
      <c r="Q37" s="63"/>
      <c r="R37" s="63"/>
    </row>
    <row r="38" spans="2:18" ht="15" customHeight="1" x14ac:dyDescent="0.25">
      <c r="B38" s="63"/>
      <c r="C38" s="63"/>
      <c r="D38" s="63"/>
      <c r="E38" s="63"/>
      <c r="F38" s="63"/>
      <c r="G38" s="63"/>
      <c r="H38" s="63"/>
      <c r="I38" s="63"/>
      <c r="J38" s="63"/>
      <c r="K38" s="63"/>
      <c r="L38" s="63"/>
      <c r="M38" s="63"/>
      <c r="N38" s="63"/>
      <c r="O38" s="63"/>
      <c r="P38" s="63"/>
      <c r="Q38" s="63"/>
      <c r="R38" s="63"/>
    </row>
    <row r="39" spans="2:18" ht="15" customHeight="1" x14ac:dyDescent="0.25">
      <c r="B39" s="63"/>
      <c r="C39" s="63"/>
      <c r="D39" s="63"/>
      <c r="E39" s="63"/>
      <c r="F39" s="63"/>
      <c r="G39" s="63"/>
      <c r="H39" s="63"/>
      <c r="I39" s="63"/>
      <c r="J39" s="63"/>
      <c r="K39" s="63"/>
      <c r="L39" s="63"/>
      <c r="M39" s="63"/>
      <c r="N39" s="63"/>
      <c r="O39" s="63"/>
      <c r="P39" s="63"/>
      <c r="Q39" s="63"/>
      <c r="R39" s="63"/>
    </row>
    <row r="40" spans="2:18" ht="15" customHeight="1" x14ac:dyDescent="0.25">
      <c r="B40" s="63"/>
      <c r="C40" s="63"/>
      <c r="D40" s="63"/>
      <c r="E40" s="63"/>
      <c r="F40" s="63"/>
      <c r="G40" s="63"/>
      <c r="H40" s="63"/>
      <c r="I40" s="63"/>
      <c r="J40" s="63"/>
      <c r="K40" s="63"/>
      <c r="L40" s="63"/>
      <c r="M40" s="63"/>
      <c r="N40" s="63"/>
      <c r="O40" s="63"/>
      <c r="P40" s="63"/>
      <c r="Q40" s="63"/>
      <c r="R40" s="63"/>
    </row>
    <row r="41" spans="2:18" ht="15" customHeight="1" x14ac:dyDescent="0.25">
      <c r="B41" s="63"/>
      <c r="C41" s="63"/>
      <c r="D41" s="63"/>
      <c r="E41" s="63"/>
      <c r="F41" s="63"/>
      <c r="G41" s="63"/>
      <c r="H41" s="63"/>
      <c r="I41" s="63"/>
      <c r="J41" s="63"/>
      <c r="K41" s="63"/>
      <c r="L41" s="63"/>
      <c r="M41" s="63"/>
      <c r="N41" s="63"/>
      <c r="O41" s="63"/>
      <c r="P41" s="63"/>
      <c r="Q41" s="63"/>
      <c r="R41" s="63"/>
    </row>
    <row r="42" spans="2:18" ht="15" customHeight="1" x14ac:dyDescent="0.25">
      <c r="B42" s="63"/>
      <c r="C42" s="63"/>
      <c r="D42" s="63"/>
      <c r="E42" s="63"/>
      <c r="F42" s="63"/>
      <c r="G42" s="63"/>
      <c r="H42" s="63"/>
      <c r="I42" s="63"/>
      <c r="J42" s="63"/>
      <c r="K42" s="63"/>
      <c r="L42" s="63"/>
      <c r="M42" s="63"/>
      <c r="N42" s="63"/>
      <c r="O42" s="63"/>
      <c r="P42" s="63"/>
      <c r="Q42" s="63"/>
      <c r="R42" s="63"/>
    </row>
    <row r="43" spans="2:18" ht="15" customHeight="1" x14ac:dyDescent="0.25">
      <c r="B43" s="63"/>
      <c r="C43" s="63"/>
      <c r="D43" s="63"/>
      <c r="E43" s="63"/>
      <c r="F43" s="63"/>
      <c r="G43" s="63"/>
      <c r="H43" s="63"/>
      <c r="I43" s="63"/>
      <c r="J43" s="63"/>
      <c r="K43" s="63"/>
      <c r="L43" s="63"/>
      <c r="M43" s="63"/>
      <c r="N43" s="63"/>
      <c r="O43" s="63"/>
      <c r="P43" s="63"/>
      <c r="Q43" s="63"/>
      <c r="R43" s="63"/>
    </row>
    <row r="44" spans="2:18" ht="15" customHeight="1" x14ac:dyDescent="0.25">
      <c r="B44" s="63"/>
      <c r="C44" s="63"/>
      <c r="D44" s="63"/>
      <c r="E44" s="63"/>
      <c r="F44" s="63"/>
      <c r="G44" s="63"/>
      <c r="H44" s="63"/>
      <c r="I44" s="63"/>
      <c r="J44" s="63"/>
      <c r="K44" s="63"/>
      <c r="L44" s="63"/>
      <c r="M44" s="63"/>
      <c r="N44" s="63"/>
      <c r="O44" s="63"/>
      <c r="P44" s="63"/>
      <c r="Q44" s="63"/>
      <c r="R44" s="63"/>
    </row>
    <row r="45" spans="2:18" ht="15" customHeight="1" x14ac:dyDescent="0.25">
      <c r="B45" s="63"/>
      <c r="C45" s="63"/>
      <c r="D45" s="63"/>
      <c r="E45" s="63"/>
      <c r="F45" s="63"/>
      <c r="G45" s="63"/>
      <c r="H45" s="63"/>
      <c r="I45" s="63"/>
      <c r="J45" s="63"/>
      <c r="K45" s="63"/>
      <c r="L45" s="63"/>
      <c r="M45" s="63"/>
      <c r="N45" s="63"/>
      <c r="O45" s="63"/>
      <c r="P45" s="63"/>
      <c r="Q45" s="63"/>
      <c r="R45" s="63"/>
    </row>
    <row r="46" spans="2:18" ht="15" customHeight="1" x14ac:dyDescent="0.25">
      <c r="B46" s="63"/>
      <c r="C46" s="63"/>
      <c r="D46" s="63"/>
      <c r="E46" s="63"/>
      <c r="F46" s="63"/>
      <c r="G46" s="63"/>
      <c r="H46" s="63"/>
      <c r="I46" s="63"/>
      <c r="J46" s="63"/>
      <c r="K46" s="63"/>
      <c r="L46" s="63"/>
      <c r="M46" s="63"/>
      <c r="N46" s="63"/>
      <c r="O46" s="63"/>
      <c r="P46" s="63"/>
      <c r="Q46" s="63"/>
      <c r="R46" s="63"/>
    </row>
    <row r="47" spans="2:18" ht="15" customHeight="1" x14ac:dyDescent="0.25">
      <c r="B47" s="63"/>
      <c r="C47" s="63"/>
      <c r="D47" s="63"/>
      <c r="E47" s="63"/>
      <c r="F47" s="63"/>
      <c r="G47" s="63"/>
      <c r="H47" s="63"/>
      <c r="I47" s="63"/>
      <c r="J47" s="63"/>
      <c r="K47" s="63"/>
      <c r="L47" s="63"/>
      <c r="M47" s="63"/>
      <c r="N47" s="63"/>
      <c r="O47" s="63"/>
      <c r="P47" s="63"/>
      <c r="Q47" s="63"/>
      <c r="R47" s="63"/>
    </row>
    <row r="48" spans="2:18" ht="15" customHeight="1" x14ac:dyDescent="0.25">
      <c r="B48" s="63"/>
      <c r="C48" s="63"/>
      <c r="D48" s="63"/>
      <c r="E48" s="63"/>
      <c r="F48" s="63"/>
      <c r="G48" s="63"/>
      <c r="H48" s="63"/>
      <c r="I48" s="63"/>
      <c r="J48" s="63"/>
      <c r="K48" s="63"/>
      <c r="L48" s="63"/>
      <c r="M48" s="63"/>
      <c r="N48" s="63"/>
      <c r="O48" s="63"/>
      <c r="P48" s="63"/>
      <c r="Q48" s="63"/>
      <c r="R48" s="63"/>
    </row>
    <row r="49" spans="2:18" ht="15" customHeight="1" x14ac:dyDescent="0.25">
      <c r="B49" s="63"/>
      <c r="C49" s="63"/>
      <c r="D49" s="63"/>
      <c r="E49" s="63"/>
      <c r="F49" s="63"/>
      <c r="G49" s="63"/>
      <c r="H49" s="63"/>
      <c r="I49" s="63"/>
      <c r="J49" s="63"/>
      <c r="K49" s="63"/>
      <c r="L49" s="63"/>
      <c r="M49" s="63"/>
      <c r="N49" s="63"/>
      <c r="O49" s="63"/>
      <c r="P49" s="63"/>
      <c r="Q49" s="63"/>
      <c r="R49" s="63"/>
    </row>
    <row r="50" spans="2:18" ht="15" customHeight="1" x14ac:dyDescent="0.25">
      <c r="B50" s="63"/>
      <c r="C50" s="63"/>
      <c r="D50" s="63"/>
      <c r="E50" s="63"/>
      <c r="F50" s="63"/>
      <c r="G50" s="63"/>
      <c r="H50" s="63"/>
      <c r="I50" s="63"/>
      <c r="J50" s="63"/>
      <c r="K50" s="63"/>
      <c r="L50" s="63"/>
      <c r="M50" s="63"/>
      <c r="N50" s="63"/>
      <c r="O50" s="63"/>
      <c r="P50" s="63"/>
      <c r="Q50" s="63"/>
      <c r="R50" s="63"/>
    </row>
    <row r="51" spans="2:18" ht="15" customHeight="1" x14ac:dyDescent="0.25">
      <c r="B51" s="63"/>
      <c r="C51" s="63"/>
      <c r="D51" s="63"/>
      <c r="E51" s="63"/>
      <c r="F51" s="63"/>
      <c r="G51" s="63"/>
      <c r="H51" s="63"/>
      <c r="I51" s="63"/>
      <c r="J51" s="63"/>
      <c r="K51" s="63"/>
      <c r="L51" s="63"/>
      <c r="M51" s="63"/>
      <c r="N51" s="63"/>
      <c r="O51" s="63"/>
      <c r="P51" s="63"/>
      <c r="Q51" s="63"/>
      <c r="R51" s="63"/>
    </row>
    <row r="52" spans="2:18" ht="15" customHeight="1" x14ac:dyDescent="0.25">
      <c r="B52" s="63"/>
      <c r="C52" s="63"/>
      <c r="D52" s="63"/>
      <c r="E52" s="63"/>
      <c r="F52" s="63"/>
      <c r="G52" s="63"/>
      <c r="H52" s="63"/>
      <c r="I52" s="63"/>
      <c r="J52" s="63"/>
      <c r="K52" s="63"/>
      <c r="L52" s="63"/>
      <c r="M52" s="63"/>
      <c r="N52" s="63"/>
      <c r="O52" s="63"/>
      <c r="P52" s="63"/>
      <c r="Q52" s="63"/>
      <c r="R52" s="63"/>
    </row>
    <row r="53" spans="2:18" ht="15" customHeight="1" x14ac:dyDescent="0.25">
      <c r="B53" s="63"/>
      <c r="C53" s="63"/>
      <c r="D53" s="63"/>
      <c r="E53" s="63"/>
      <c r="F53" s="63"/>
      <c r="G53" s="63"/>
      <c r="H53" s="63"/>
      <c r="I53" s="63"/>
      <c r="J53" s="63"/>
      <c r="K53" s="63"/>
      <c r="L53" s="63"/>
      <c r="M53" s="63"/>
      <c r="N53" s="63"/>
      <c r="O53" s="63"/>
      <c r="P53" s="63"/>
      <c r="Q53" s="63"/>
      <c r="R53" s="63"/>
    </row>
    <row r="54" spans="2:18" ht="15" customHeight="1" x14ac:dyDescent="0.25">
      <c r="B54" s="63"/>
      <c r="C54" s="63"/>
      <c r="D54" s="63"/>
      <c r="E54" s="63"/>
      <c r="F54" s="63"/>
      <c r="G54" s="63"/>
      <c r="H54" s="63"/>
      <c r="I54" s="63"/>
      <c r="J54" s="63"/>
      <c r="K54" s="63"/>
      <c r="L54" s="63"/>
      <c r="M54" s="63"/>
      <c r="N54" s="63"/>
      <c r="O54" s="63"/>
      <c r="P54" s="63"/>
      <c r="Q54" s="63"/>
      <c r="R54" s="63"/>
    </row>
    <row r="55" spans="2:18" ht="15" customHeight="1" x14ac:dyDescent="0.25">
      <c r="B55" s="63"/>
      <c r="C55" s="63"/>
      <c r="D55" s="63"/>
      <c r="E55" s="63"/>
      <c r="F55" s="63"/>
      <c r="G55" s="63"/>
      <c r="H55" s="63"/>
      <c r="I55" s="63"/>
      <c r="J55" s="63"/>
      <c r="K55" s="63"/>
      <c r="L55" s="63"/>
      <c r="M55" s="63"/>
      <c r="N55" s="63"/>
      <c r="O55" s="63"/>
      <c r="P55" s="63"/>
      <c r="Q55" s="63"/>
      <c r="R55" s="63"/>
    </row>
    <row r="56" spans="2:18" ht="15" customHeight="1" x14ac:dyDescent="0.25">
      <c r="B56" s="63"/>
      <c r="C56" s="63"/>
      <c r="D56" s="63"/>
      <c r="E56" s="63"/>
      <c r="F56" s="63"/>
      <c r="G56" s="63"/>
      <c r="H56" s="63"/>
      <c r="I56" s="63"/>
      <c r="J56" s="63"/>
      <c r="K56" s="63"/>
      <c r="L56" s="63"/>
      <c r="M56" s="63"/>
      <c r="N56" s="63"/>
      <c r="O56" s="63"/>
      <c r="P56" s="63"/>
      <c r="Q56" s="63"/>
      <c r="R56" s="63"/>
    </row>
    <row r="57" spans="2:18" ht="15" customHeight="1" x14ac:dyDescent="0.25">
      <c r="B57" s="63"/>
      <c r="C57" s="63"/>
      <c r="D57" s="63"/>
      <c r="E57" s="63"/>
      <c r="F57" s="63"/>
      <c r="G57" s="63"/>
      <c r="H57" s="63"/>
      <c r="I57" s="63"/>
      <c r="J57" s="63"/>
      <c r="K57" s="63"/>
      <c r="L57" s="63"/>
      <c r="M57" s="63"/>
      <c r="N57" s="63"/>
      <c r="O57" s="63"/>
      <c r="P57" s="63"/>
      <c r="Q57" s="63"/>
      <c r="R57" s="63"/>
    </row>
    <row r="58" spans="2:18" ht="15" customHeight="1" x14ac:dyDescent="0.25">
      <c r="B58" s="63"/>
      <c r="C58" s="63"/>
      <c r="D58" s="63"/>
      <c r="E58" s="63"/>
      <c r="F58" s="63"/>
      <c r="G58" s="63"/>
      <c r="H58" s="63"/>
      <c r="I58" s="63"/>
      <c r="J58" s="63"/>
      <c r="K58" s="63"/>
      <c r="L58" s="63"/>
      <c r="M58" s="63"/>
      <c r="N58" s="63"/>
      <c r="O58" s="63"/>
      <c r="P58" s="63"/>
      <c r="Q58" s="63"/>
      <c r="R58" s="63"/>
    </row>
    <row r="59" spans="2:18" ht="15" customHeight="1" x14ac:dyDescent="0.25">
      <c r="B59" s="63"/>
      <c r="C59" s="63"/>
      <c r="D59" s="63"/>
      <c r="E59" s="63"/>
      <c r="F59" s="63"/>
      <c r="G59" s="63"/>
      <c r="H59" s="63"/>
      <c r="I59" s="63"/>
      <c r="J59" s="63"/>
      <c r="K59" s="63"/>
      <c r="L59" s="63"/>
      <c r="M59" s="63"/>
      <c r="N59" s="63"/>
      <c r="O59" s="63"/>
      <c r="P59" s="63"/>
      <c r="Q59" s="63"/>
      <c r="R59" s="63"/>
    </row>
  </sheetData>
  <mergeCells count="49">
    <mergeCell ref="D10:R10"/>
    <mergeCell ref="D11:R11"/>
    <mergeCell ref="D12:R12"/>
    <mergeCell ref="L20:P20"/>
    <mergeCell ref="L19:P19"/>
    <mergeCell ref="M29:R29"/>
    <mergeCell ref="E2:N2"/>
    <mergeCell ref="E1:N1"/>
    <mergeCell ref="M28:R28"/>
    <mergeCell ref="C26:G26"/>
    <mergeCell ref="L26:P26"/>
    <mergeCell ref="C23:G23"/>
    <mergeCell ref="L23:P23"/>
    <mergeCell ref="C24:G24"/>
    <mergeCell ref="L24:P24"/>
    <mergeCell ref="C25:G25"/>
    <mergeCell ref="L25:P25"/>
    <mergeCell ref="C20:G20"/>
    <mergeCell ref="C13:G13"/>
    <mergeCell ref="L13:P13"/>
    <mergeCell ref="D3:G3"/>
    <mergeCell ref="B31:R59"/>
    <mergeCell ref="C14:G14"/>
    <mergeCell ref="L14:P14"/>
    <mergeCell ref="C15:G15"/>
    <mergeCell ref="L15:P15"/>
    <mergeCell ref="C16:G16"/>
    <mergeCell ref="L16:P16"/>
    <mergeCell ref="C21:G21"/>
    <mergeCell ref="L21:P21"/>
    <mergeCell ref="C22:G22"/>
    <mergeCell ref="L22:P22"/>
    <mergeCell ref="C17:G17"/>
    <mergeCell ref="L17:P17"/>
    <mergeCell ref="C18:G18"/>
    <mergeCell ref="L18:P18"/>
    <mergeCell ref="C19:G19"/>
    <mergeCell ref="D8:R8"/>
    <mergeCell ref="D9:R9"/>
    <mergeCell ref="D5:R5"/>
    <mergeCell ref="B3:C3"/>
    <mergeCell ref="B4:C4"/>
    <mergeCell ref="B5:C5"/>
    <mergeCell ref="D7:R7"/>
    <mergeCell ref="D4:G4"/>
    <mergeCell ref="I3:L3"/>
    <mergeCell ref="I4:L4"/>
    <mergeCell ref="M3:R3"/>
    <mergeCell ref="M4:R4"/>
  </mergeCells>
  <phoneticPr fontId="3" type="noConversion"/>
  <printOptions horizontalCentered="1"/>
  <pageMargins left="0.19685039370078741" right="0.19685039370078741" top="0.39370078740157483" bottom="0.19685039370078741" header="0" footer="0"/>
  <pageSetup paperSize="9" scale="92" orientation="portrait" r:id="rId1"/>
  <rowBreaks count="1" manualBreakCount="1">
    <brk id="19" max="16383" man="1"/>
  </rowBreaks>
  <colBreaks count="1" manualBreakCount="1">
    <brk id="23" max="1048575" man="1"/>
  </colBreaks>
  <ignoredErrors>
    <ignoredError sqref="I1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F6815-1318-4F31-A398-00409468542D}">
  <sheetPr>
    <pageSetUpPr fitToPage="1"/>
  </sheetPr>
  <dimension ref="A1:P60"/>
  <sheetViews>
    <sheetView view="pageBreakPreview" zoomScale="80" zoomScaleNormal="100" zoomScaleSheetLayoutView="80" workbookViewId="0">
      <selection activeCell="W21" sqref="W21"/>
    </sheetView>
  </sheetViews>
  <sheetFormatPr defaultColWidth="7.28515625" defaultRowHeight="15.95" customHeight="1" x14ac:dyDescent="0.25"/>
  <cols>
    <col min="1" max="2" width="7.28515625" style="4"/>
    <col min="3" max="3" width="6.7109375" style="4" customWidth="1"/>
    <col min="4" max="4" width="5.7109375" style="4" customWidth="1"/>
    <col min="5" max="5" width="7.7109375" style="4" customWidth="1"/>
    <col min="6" max="6" width="6.7109375" style="4" customWidth="1"/>
    <col min="7" max="7" width="10.7109375" style="4" customWidth="1"/>
    <col min="8" max="8" width="6.7109375" style="4" customWidth="1"/>
    <col min="9" max="9" width="10.7109375" style="4" customWidth="1"/>
    <col min="10" max="10" width="6.7109375" style="4" customWidth="1"/>
    <col min="11" max="11" width="5.7109375" style="4" customWidth="1"/>
    <col min="12" max="12" width="7.7109375" style="4" customWidth="1"/>
    <col min="13" max="13" width="6.7109375" style="4" customWidth="1"/>
    <col min="14" max="14" width="10.7109375" style="4" customWidth="1"/>
    <col min="15" max="15" width="6.7109375" style="4" customWidth="1"/>
    <col min="16" max="16" width="10.7109375" style="4" customWidth="1"/>
    <col min="17" max="16384" width="7.28515625" style="4"/>
  </cols>
  <sheetData>
    <row r="1" spans="1:16" ht="6" customHeight="1" x14ac:dyDescent="0.25">
      <c r="A1" s="4">
        <v>1</v>
      </c>
      <c r="B1" s="6">
        <v>1</v>
      </c>
      <c r="C1" s="11"/>
      <c r="D1" s="12"/>
      <c r="E1" s="12"/>
      <c r="F1" s="12"/>
      <c r="G1" s="12"/>
      <c r="H1" s="12"/>
      <c r="I1" s="13"/>
      <c r="J1" s="11"/>
      <c r="K1" s="12"/>
      <c r="L1" s="12"/>
      <c r="M1" s="12"/>
      <c r="N1" s="12"/>
      <c r="O1" s="12"/>
      <c r="P1" s="13"/>
    </row>
    <row r="2" spans="1:16" s="9" customFormat="1" ht="20.100000000000001" customHeight="1" x14ac:dyDescent="0.25">
      <c r="B2" s="10">
        <v>2</v>
      </c>
      <c r="C2" s="14" t="s">
        <v>39</v>
      </c>
      <c r="D2" s="15"/>
      <c r="E2" s="16" t="s">
        <v>38</v>
      </c>
      <c r="F2" s="17" t="s">
        <v>36</v>
      </c>
      <c r="G2" s="18"/>
      <c r="H2" s="17" t="s">
        <v>37</v>
      </c>
      <c r="I2" s="19"/>
      <c r="J2" s="14" t="s">
        <v>39</v>
      </c>
      <c r="K2" s="15"/>
      <c r="L2" s="16" t="s">
        <v>38</v>
      </c>
      <c r="M2" s="17" t="s">
        <v>36</v>
      </c>
      <c r="N2" s="18"/>
      <c r="O2" s="17" t="s">
        <v>37</v>
      </c>
      <c r="P2" s="19"/>
    </row>
    <row r="3" spans="1:16" ht="15.95" customHeight="1" x14ac:dyDescent="0.25">
      <c r="B3" s="6">
        <v>3</v>
      </c>
      <c r="C3" s="20"/>
      <c r="I3" s="21"/>
      <c r="J3" s="20"/>
      <c r="P3" s="21"/>
    </row>
    <row r="4" spans="1:16" ht="15.95" customHeight="1" x14ac:dyDescent="0.25">
      <c r="B4" s="6">
        <v>4</v>
      </c>
      <c r="C4" s="20"/>
      <c r="I4" s="21"/>
      <c r="J4" s="20"/>
      <c r="P4" s="21"/>
    </row>
    <row r="5" spans="1:16" ht="15.95" customHeight="1" x14ac:dyDescent="0.25">
      <c r="B5" s="6">
        <v>5</v>
      </c>
      <c r="C5" s="20"/>
      <c r="I5" s="21"/>
      <c r="J5" s="20"/>
      <c r="P5" s="21"/>
    </row>
    <row r="6" spans="1:16" ht="15.95" customHeight="1" x14ac:dyDescent="0.25">
      <c r="B6" s="6">
        <v>6</v>
      </c>
      <c r="C6" s="20"/>
      <c r="I6" s="21"/>
      <c r="J6" s="20"/>
      <c r="P6" s="21"/>
    </row>
    <row r="7" spans="1:16" ht="15.95" customHeight="1" x14ac:dyDescent="0.25">
      <c r="B7" s="6">
        <v>7</v>
      </c>
      <c r="C7" s="20"/>
      <c r="I7" s="21"/>
      <c r="J7" s="20"/>
      <c r="P7" s="21"/>
    </row>
    <row r="8" spans="1:16" ht="15.95" customHeight="1" x14ac:dyDescent="0.25">
      <c r="B8" s="6">
        <v>8</v>
      </c>
      <c r="C8" s="20"/>
      <c r="I8" s="21"/>
      <c r="J8" s="20"/>
      <c r="P8" s="21"/>
    </row>
    <row r="9" spans="1:16" ht="15.95" customHeight="1" x14ac:dyDescent="0.25">
      <c r="B9" s="6">
        <v>9</v>
      </c>
      <c r="C9" s="20"/>
      <c r="I9" s="21"/>
      <c r="J9" s="20"/>
      <c r="P9" s="21"/>
    </row>
    <row r="10" spans="1:16" ht="15.95" customHeight="1" x14ac:dyDescent="0.25">
      <c r="B10" s="6">
        <v>10</v>
      </c>
      <c r="C10" s="20"/>
      <c r="I10" s="21"/>
      <c r="J10" s="20"/>
      <c r="P10" s="21"/>
    </row>
    <row r="11" spans="1:16" ht="15.95" customHeight="1" x14ac:dyDescent="0.25">
      <c r="B11" s="6">
        <v>11</v>
      </c>
      <c r="C11" s="20"/>
      <c r="I11" s="21"/>
      <c r="J11" s="20"/>
      <c r="P11" s="21"/>
    </row>
    <row r="12" spans="1:16" ht="15.95" customHeight="1" x14ac:dyDescent="0.25">
      <c r="B12" s="6">
        <v>12</v>
      </c>
      <c r="C12" s="20"/>
      <c r="I12" s="21"/>
      <c r="J12" s="20"/>
      <c r="P12" s="21"/>
    </row>
    <row r="13" spans="1:16" ht="15.95" customHeight="1" x14ac:dyDescent="0.25">
      <c r="B13" s="6">
        <v>13</v>
      </c>
      <c r="C13" s="20"/>
      <c r="I13" s="21"/>
      <c r="J13" s="20"/>
      <c r="P13" s="21"/>
    </row>
    <row r="14" spans="1:16" ht="15.95" customHeight="1" x14ac:dyDescent="0.25">
      <c r="B14" s="6">
        <v>14</v>
      </c>
      <c r="C14" s="20"/>
      <c r="I14" s="21"/>
      <c r="J14" s="20"/>
      <c r="P14" s="21"/>
    </row>
    <row r="15" spans="1:16" ht="15.95" customHeight="1" x14ac:dyDescent="0.25">
      <c r="B15" s="6">
        <v>15</v>
      </c>
      <c r="C15" s="20"/>
      <c r="I15" s="21"/>
      <c r="J15" s="20"/>
      <c r="P15" s="21"/>
    </row>
    <row r="16" spans="1:16" ht="15.95" customHeight="1" x14ac:dyDescent="0.25">
      <c r="B16" s="6">
        <v>16</v>
      </c>
      <c r="C16" s="20"/>
      <c r="I16" s="21"/>
      <c r="J16" s="20"/>
      <c r="P16" s="21"/>
    </row>
    <row r="17" spans="2:16" ht="15.95" customHeight="1" x14ac:dyDescent="0.25">
      <c r="B17" s="6">
        <v>17</v>
      </c>
      <c r="C17" s="20"/>
      <c r="I17" s="21"/>
      <c r="J17" s="20"/>
      <c r="P17" s="21"/>
    </row>
    <row r="18" spans="2:16" ht="15.95" customHeight="1" x14ac:dyDescent="0.25">
      <c r="B18" s="6">
        <v>18</v>
      </c>
      <c r="C18" s="20"/>
      <c r="I18" s="21"/>
      <c r="J18" s="20"/>
      <c r="P18" s="21"/>
    </row>
    <row r="19" spans="2:16" ht="15.95" customHeight="1" x14ac:dyDescent="0.25">
      <c r="B19" s="6">
        <v>19</v>
      </c>
      <c r="C19" s="20"/>
      <c r="I19" s="21"/>
      <c r="J19" s="20"/>
      <c r="P19" s="21"/>
    </row>
    <row r="20" spans="2:16" ht="15.95" customHeight="1" x14ac:dyDescent="0.25">
      <c r="B20" s="6">
        <v>20</v>
      </c>
      <c r="C20" s="20"/>
      <c r="I20" s="21"/>
      <c r="J20" s="20"/>
      <c r="P20" s="21"/>
    </row>
    <row r="21" spans="2:16" ht="15.95" customHeight="1" x14ac:dyDescent="0.25">
      <c r="B21" s="6">
        <v>21</v>
      </c>
      <c r="C21" s="20"/>
      <c r="I21" s="21"/>
      <c r="J21" s="20"/>
      <c r="P21" s="21"/>
    </row>
    <row r="22" spans="2:16" ht="15.95" customHeight="1" x14ac:dyDescent="0.25">
      <c r="B22" s="6">
        <v>22</v>
      </c>
      <c r="C22" s="20"/>
      <c r="I22" s="21"/>
      <c r="J22" s="20"/>
      <c r="P22" s="21"/>
    </row>
    <row r="23" spans="2:16" ht="15.95" customHeight="1" x14ac:dyDescent="0.25">
      <c r="B23" s="6">
        <v>23</v>
      </c>
      <c r="C23" s="20"/>
      <c r="I23" s="21"/>
      <c r="J23" s="20"/>
      <c r="P23" s="21"/>
    </row>
    <row r="24" spans="2:16" ht="15.95" customHeight="1" x14ac:dyDescent="0.25">
      <c r="B24" s="6">
        <v>24</v>
      </c>
      <c r="C24" s="20"/>
      <c r="I24" s="21"/>
      <c r="J24" s="20"/>
      <c r="P24" s="21"/>
    </row>
    <row r="25" spans="2:16" ht="15.95" customHeight="1" x14ac:dyDescent="0.25">
      <c r="B25" s="6">
        <v>25</v>
      </c>
      <c r="C25" s="20"/>
      <c r="I25" s="21"/>
      <c r="J25" s="20"/>
      <c r="P25" s="21"/>
    </row>
    <row r="26" spans="2:16" ht="15.95" customHeight="1" x14ac:dyDescent="0.25">
      <c r="B26" s="6">
        <v>26</v>
      </c>
      <c r="C26" s="20"/>
      <c r="I26" s="21"/>
      <c r="J26" s="20"/>
      <c r="P26" s="21"/>
    </row>
    <row r="27" spans="2:16" ht="15.95" customHeight="1" x14ac:dyDescent="0.25">
      <c r="B27" s="6">
        <v>27</v>
      </c>
      <c r="C27" s="20"/>
      <c r="I27" s="21"/>
      <c r="J27" s="20"/>
      <c r="P27" s="21"/>
    </row>
    <row r="28" spans="2:16" ht="15.95" customHeight="1" x14ac:dyDescent="0.25">
      <c r="B28" s="6">
        <v>28</v>
      </c>
      <c r="C28" s="20"/>
      <c r="I28" s="21"/>
      <c r="J28" s="20"/>
      <c r="P28" s="21"/>
    </row>
    <row r="29" spans="2:16" ht="15.95" customHeight="1" x14ac:dyDescent="0.25">
      <c r="B29" s="6">
        <v>29</v>
      </c>
      <c r="C29" s="20"/>
      <c r="I29" s="21"/>
      <c r="J29" s="20"/>
      <c r="P29" s="21"/>
    </row>
    <row r="30" spans="2:16" ht="15.95" customHeight="1" x14ac:dyDescent="0.25">
      <c r="B30" s="6">
        <v>30</v>
      </c>
      <c r="C30" s="22"/>
      <c r="D30" s="23"/>
      <c r="E30" s="23"/>
      <c r="F30" s="23"/>
      <c r="G30" s="23"/>
      <c r="H30" s="23"/>
      <c r="I30" s="24"/>
      <c r="J30" s="22"/>
      <c r="K30" s="23"/>
      <c r="L30" s="23"/>
      <c r="M30" s="23"/>
      <c r="N30" s="23"/>
      <c r="O30" s="23"/>
      <c r="P30" s="24"/>
    </row>
    <row r="31" spans="2:16" ht="6" customHeight="1" x14ac:dyDescent="0.25">
      <c r="B31" s="6">
        <v>31</v>
      </c>
      <c r="C31" s="11"/>
      <c r="D31" s="12"/>
      <c r="E31" s="12"/>
      <c r="F31" s="12"/>
      <c r="G31" s="12"/>
      <c r="H31" s="12"/>
      <c r="I31" s="13"/>
      <c r="J31" s="11"/>
      <c r="K31" s="12"/>
      <c r="L31" s="12"/>
      <c r="M31" s="12"/>
      <c r="N31" s="12"/>
      <c r="O31" s="12"/>
      <c r="P31" s="13"/>
    </row>
    <row r="32" spans="2:16" s="9" customFormat="1" ht="20.100000000000001" customHeight="1" x14ac:dyDescent="0.25">
      <c r="B32" s="10">
        <v>32</v>
      </c>
      <c r="C32" s="14" t="s">
        <v>39</v>
      </c>
      <c r="D32" s="15"/>
      <c r="E32" s="16" t="s">
        <v>38</v>
      </c>
      <c r="F32" s="17" t="s">
        <v>36</v>
      </c>
      <c r="G32" s="18"/>
      <c r="H32" s="17" t="s">
        <v>37</v>
      </c>
      <c r="I32" s="19"/>
      <c r="J32" s="14" t="s">
        <v>39</v>
      </c>
      <c r="K32" s="15"/>
      <c r="L32" s="16" t="s">
        <v>38</v>
      </c>
      <c r="M32" s="17" t="s">
        <v>36</v>
      </c>
      <c r="N32" s="18"/>
      <c r="O32" s="17" t="s">
        <v>37</v>
      </c>
      <c r="P32" s="19"/>
    </row>
    <row r="33" spans="2:16" ht="15.95" customHeight="1" x14ac:dyDescent="0.25">
      <c r="B33" s="6">
        <v>33</v>
      </c>
      <c r="C33" s="20"/>
      <c r="I33" s="21"/>
      <c r="J33" s="20"/>
      <c r="P33" s="21"/>
    </row>
    <row r="34" spans="2:16" ht="15.95" customHeight="1" x14ac:dyDescent="0.25">
      <c r="B34" s="6">
        <v>34</v>
      </c>
      <c r="C34" s="20"/>
      <c r="I34" s="21"/>
      <c r="J34" s="20"/>
      <c r="P34" s="21"/>
    </row>
    <row r="35" spans="2:16" ht="15.95" customHeight="1" x14ac:dyDescent="0.25">
      <c r="B35" s="6">
        <v>35</v>
      </c>
      <c r="C35" s="20"/>
      <c r="I35" s="21"/>
      <c r="J35" s="20"/>
      <c r="P35" s="21"/>
    </row>
    <row r="36" spans="2:16" ht="15.95" customHeight="1" x14ac:dyDescent="0.25">
      <c r="B36" s="6">
        <v>36</v>
      </c>
      <c r="C36" s="20"/>
      <c r="I36" s="21"/>
      <c r="J36" s="20"/>
      <c r="P36" s="21"/>
    </row>
    <row r="37" spans="2:16" ht="15.95" customHeight="1" x14ac:dyDescent="0.25">
      <c r="B37" s="6">
        <v>37</v>
      </c>
      <c r="C37" s="20"/>
      <c r="I37" s="21"/>
      <c r="J37" s="20"/>
      <c r="P37" s="21"/>
    </row>
    <row r="38" spans="2:16" ht="15.95" customHeight="1" x14ac:dyDescent="0.25">
      <c r="B38" s="6">
        <v>38</v>
      </c>
      <c r="C38" s="20"/>
      <c r="I38" s="21"/>
      <c r="J38" s="20"/>
      <c r="P38" s="21"/>
    </row>
    <row r="39" spans="2:16" ht="15.95" customHeight="1" x14ac:dyDescent="0.25">
      <c r="B39" s="6">
        <v>39</v>
      </c>
      <c r="C39" s="20"/>
      <c r="I39" s="21"/>
      <c r="J39" s="20"/>
      <c r="P39" s="21"/>
    </row>
    <row r="40" spans="2:16" ht="15.95" customHeight="1" x14ac:dyDescent="0.25">
      <c r="B40" s="6">
        <v>40</v>
      </c>
      <c r="C40" s="20"/>
      <c r="I40" s="21"/>
      <c r="J40" s="20"/>
      <c r="P40" s="21"/>
    </row>
    <row r="41" spans="2:16" ht="15.95" customHeight="1" x14ac:dyDescent="0.25">
      <c r="B41" s="6">
        <v>41</v>
      </c>
      <c r="C41" s="20"/>
      <c r="I41" s="21"/>
      <c r="J41" s="20"/>
      <c r="P41" s="21"/>
    </row>
    <row r="42" spans="2:16" ht="15.95" customHeight="1" x14ac:dyDescent="0.25">
      <c r="B42" s="6">
        <v>42</v>
      </c>
      <c r="C42" s="20"/>
      <c r="I42" s="21"/>
      <c r="J42" s="20"/>
      <c r="P42" s="21"/>
    </row>
    <row r="43" spans="2:16" ht="15.95" customHeight="1" x14ac:dyDescent="0.25">
      <c r="B43" s="6">
        <v>43</v>
      </c>
      <c r="C43" s="20"/>
      <c r="I43" s="21"/>
      <c r="J43" s="20"/>
      <c r="P43" s="21"/>
    </row>
    <row r="44" spans="2:16" ht="15.95" customHeight="1" x14ac:dyDescent="0.25">
      <c r="B44" s="6">
        <v>44</v>
      </c>
      <c r="C44" s="20"/>
      <c r="I44" s="21"/>
      <c r="J44" s="20"/>
      <c r="P44" s="21"/>
    </row>
    <row r="45" spans="2:16" ht="15.95" customHeight="1" x14ac:dyDescent="0.25">
      <c r="B45" s="6">
        <v>45</v>
      </c>
      <c r="C45" s="20"/>
      <c r="I45" s="21"/>
      <c r="J45" s="20"/>
      <c r="P45" s="21"/>
    </row>
    <row r="46" spans="2:16" ht="15.95" customHeight="1" x14ac:dyDescent="0.25">
      <c r="B46" s="6">
        <v>46</v>
      </c>
      <c r="C46" s="20"/>
      <c r="I46" s="21"/>
      <c r="J46" s="20"/>
      <c r="P46" s="21"/>
    </row>
    <row r="47" spans="2:16" ht="15.95" customHeight="1" x14ac:dyDescent="0.25">
      <c r="B47" s="6">
        <v>47</v>
      </c>
      <c r="C47" s="20"/>
      <c r="I47" s="21"/>
      <c r="J47" s="20"/>
      <c r="P47" s="21"/>
    </row>
    <row r="48" spans="2:16" ht="15.95" customHeight="1" x14ac:dyDescent="0.25">
      <c r="B48" s="6">
        <v>48</v>
      </c>
      <c r="C48" s="20"/>
      <c r="I48" s="21"/>
      <c r="J48" s="20"/>
      <c r="P48" s="21"/>
    </row>
    <row r="49" spans="2:16" ht="15.95" customHeight="1" x14ac:dyDescent="0.25">
      <c r="B49" s="6">
        <v>49</v>
      </c>
      <c r="C49" s="20"/>
      <c r="I49" s="21"/>
      <c r="J49" s="20"/>
      <c r="P49" s="21"/>
    </row>
    <row r="50" spans="2:16" ht="15.95" customHeight="1" x14ac:dyDescent="0.25">
      <c r="B50" s="6">
        <v>50</v>
      </c>
      <c r="C50" s="20"/>
      <c r="I50" s="21"/>
      <c r="J50" s="20"/>
      <c r="P50" s="21"/>
    </row>
    <row r="51" spans="2:16" ht="15.95" customHeight="1" x14ac:dyDescent="0.25">
      <c r="B51" s="6">
        <v>51</v>
      </c>
      <c r="C51" s="20"/>
      <c r="I51" s="21"/>
      <c r="J51" s="20"/>
      <c r="P51" s="21"/>
    </row>
    <row r="52" spans="2:16" ht="15.95" customHeight="1" x14ac:dyDescent="0.25">
      <c r="B52" s="6">
        <v>52</v>
      </c>
      <c r="C52" s="20"/>
      <c r="I52" s="21"/>
      <c r="J52" s="20"/>
      <c r="P52" s="21"/>
    </row>
    <row r="53" spans="2:16" ht="15.95" customHeight="1" x14ac:dyDescent="0.25">
      <c r="B53" s="6">
        <v>53</v>
      </c>
      <c r="C53" s="20"/>
      <c r="I53" s="21"/>
      <c r="J53" s="20"/>
      <c r="P53" s="21"/>
    </row>
    <row r="54" spans="2:16" ht="15.95" customHeight="1" x14ac:dyDescent="0.25">
      <c r="B54" s="6">
        <v>54</v>
      </c>
      <c r="C54" s="20"/>
      <c r="I54" s="21"/>
      <c r="J54" s="20"/>
      <c r="P54" s="21"/>
    </row>
    <row r="55" spans="2:16" ht="15.95" customHeight="1" x14ac:dyDescent="0.25">
      <c r="B55" s="6">
        <v>55</v>
      </c>
      <c r="C55" s="20"/>
      <c r="I55" s="21"/>
      <c r="J55" s="20"/>
      <c r="P55" s="21"/>
    </row>
    <row r="56" spans="2:16" ht="15.95" customHeight="1" x14ac:dyDescent="0.25">
      <c r="B56" s="6">
        <v>56</v>
      </c>
      <c r="C56" s="20"/>
      <c r="I56" s="21"/>
      <c r="J56" s="20"/>
      <c r="P56" s="21"/>
    </row>
    <row r="57" spans="2:16" ht="15.95" customHeight="1" x14ac:dyDescent="0.25">
      <c r="B57" s="6">
        <v>57</v>
      </c>
      <c r="C57" s="20"/>
      <c r="I57" s="21"/>
      <c r="J57" s="20"/>
      <c r="P57" s="21"/>
    </row>
    <row r="58" spans="2:16" ht="15.95" customHeight="1" x14ac:dyDescent="0.25">
      <c r="B58" s="6">
        <v>58</v>
      </c>
      <c r="C58" s="20"/>
      <c r="I58" s="21"/>
      <c r="J58" s="20"/>
      <c r="P58" s="21"/>
    </row>
    <row r="59" spans="2:16" ht="15.95" customHeight="1" x14ac:dyDescent="0.25">
      <c r="B59" s="6">
        <v>59</v>
      </c>
      <c r="C59" s="20"/>
      <c r="I59" s="21"/>
      <c r="J59" s="20"/>
      <c r="P59" s="21"/>
    </row>
    <row r="60" spans="2:16" ht="15.95" customHeight="1" x14ac:dyDescent="0.25">
      <c r="B60" s="6">
        <v>60</v>
      </c>
      <c r="C60" s="22"/>
      <c r="D60" s="23"/>
      <c r="E60" s="23"/>
      <c r="F60" s="23"/>
      <c r="G60" s="23"/>
      <c r="H60" s="23"/>
      <c r="I60" s="24"/>
      <c r="J60" s="22"/>
      <c r="K60" s="23"/>
      <c r="L60" s="23"/>
      <c r="M60" s="23"/>
      <c r="N60" s="23"/>
      <c r="O60" s="23"/>
      <c r="P60" s="24"/>
    </row>
  </sheetData>
  <phoneticPr fontId="3" type="noConversion"/>
  <printOptions horizontalCentered="1" verticalCentered="1"/>
  <pageMargins left="0.19685039370078741" right="0.19685039370078741" top="0.19685039370078741" bottom="0.19685039370078741" header="0" footer="0"/>
  <pageSetup paperSize="9" scale="8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2</vt:i4>
      </vt:variant>
    </vt:vector>
  </HeadingPairs>
  <TitlesOfParts>
    <vt:vector size="5" baseType="lpstr">
      <vt:lpstr>yardımcı</vt:lpstr>
      <vt:lpstr>KAPAK</vt:lpstr>
      <vt:lpstr>sf1</vt:lpstr>
      <vt:lpstr>KAPAK!Yazdırma_Alanı</vt:lpstr>
      <vt:lpstr>'sf1'!Yazdırma_Alanı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Ersin Küçükçamur</dc:creator>
  <cp:lastModifiedBy>Ersin Küçükçamur</cp:lastModifiedBy>
  <cp:lastPrinted>2026-01-26T06:30:16Z</cp:lastPrinted>
  <dcterms:created xsi:type="dcterms:W3CDTF">2015-06-05T18:19:34Z</dcterms:created>
  <dcterms:modified xsi:type="dcterms:W3CDTF">2026-01-26T12:59:10Z</dcterms:modified>
</cp:coreProperties>
</file>